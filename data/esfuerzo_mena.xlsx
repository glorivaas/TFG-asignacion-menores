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lori\Desktop\Gloria Rivas\TFG\Código entrega\data\"/>
    </mc:Choice>
  </mc:AlternateContent>
  <xr:revisionPtr revIDLastSave="0" documentId="13_ncr:1_{0E831EF1-9B53-415C-B8CD-08F0B20C3F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xy_esfuerzo_MEN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B24" i="1"/>
  <c r="G23" i="1"/>
  <c r="F23" i="1"/>
  <c r="C23" i="1"/>
  <c r="G22" i="1"/>
  <c r="F22" i="1"/>
  <c r="C22" i="1"/>
  <c r="G21" i="1"/>
  <c r="F21" i="1"/>
  <c r="C21" i="1"/>
  <c r="G20" i="1"/>
  <c r="F20" i="1"/>
  <c r="C20" i="1"/>
  <c r="G19" i="1"/>
  <c r="F19" i="1"/>
  <c r="C19" i="1"/>
  <c r="G18" i="1"/>
  <c r="F18" i="1"/>
  <c r="C18" i="1"/>
  <c r="G17" i="1"/>
  <c r="F17" i="1"/>
  <c r="C17" i="1"/>
  <c r="G16" i="1"/>
  <c r="F16" i="1"/>
  <c r="C16" i="1"/>
  <c r="G15" i="1"/>
  <c r="F15" i="1"/>
  <c r="C15" i="1"/>
  <c r="G14" i="1"/>
  <c r="F14" i="1"/>
  <c r="C14" i="1"/>
  <c r="G13" i="1"/>
  <c r="F13" i="1"/>
  <c r="C13" i="1"/>
  <c r="G12" i="1"/>
  <c r="F12" i="1"/>
  <c r="C12" i="1"/>
  <c r="G11" i="1"/>
  <c r="F11" i="1"/>
  <c r="C11" i="1"/>
  <c r="G10" i="1"/>
  <c r="F10" i="1"/>
  <c r="C10" i="1"/>
  <c r="G9" i="1"/>
  <c r="F9" i="1"/>
  <c r="C9" i="1"/>
  <c r="G8" i="1"/>
  <c r="F8" i="1"/>
  <c r="C8" i="1"/>
  <c r="G7" i="1"/>
  <c r="F7" i="1"/>
  <c r="C7" i="1"/>
  <c r="G6" i="1"/>
  <c r="F6" i="1"/>
  <c r="C6" i="1"/>
  <c r="G5" i="1"/>
  <c r="F5" i="1"/>
  <c r="C5" i="1"/>
  <c r="H21" i="1" l="1"/>
  <c r="H19" i="1"/>
  <c r="I19" i="1" s="1"/>
  <c r="J19" i="1" s="1"/>
  <c r="H22" i="1"/>
  <c r="I22" i="1" s="1"/>
  <c r="J22" i="1" s="1"/>
  <c r="H20" i="1"/>
  <c r="I20" i="1" s="1"/>
  <c r="J20" i="1" s="1"/>
  <c r="H18" i="1"/>
  <c r="I18" i="1" s="1"/>
  <c r="J18" i="1" s="1"/>
  <c r="H14" i="1"/>
  <c r="H10" i="1"/>
  <c r="I10" i="1" s="1"/>
  <c r="J10" i="1" s="1"/>
  <c r="H15" i="1"/>
  <c r="I15" i="1" s="1"/>
  <c r="J15" i="1" s="1"/>
  <c r="H13" i="1"/>
  <c r="I13" i="1" s="1"/>
  <c r="J13" i="1" s="1"/>
  <c r="H12" i="1"/>
  <c r="I12" i="1" s="1"/>
  <c r="J12" i="1" s="1"/>
  <c r="H9" i="1"/>
  <c r="I9" i="1" s="1"/>
  <c r="J9" i="1" s="1"/>
  <c r="H7" i="1"/>
  <c r="I7" i="1" s="1"/>
  <c r="J7" i="1" s="1"/>
  <c r="H6" i="1"/>
  <c r="H17" i="1"/>
  <c r="I17" i="1" s="1"/>
  <c r="J17" i="1" s="1"/>
  <c r="H11" i="1"/>
  <c r="I11" i="1" s="1"/>
  <c r="J11" i="1" s="1"/>
  <c r="H8" i="1"/>
  <c r="I8" i="1" s="1"/>
  <c r="J8" i="1" s="1"/>
  <c r="G24" i="1"/>
  <c r="C24" i="1"/>
  <c r="H5" i="1"/>
  <c r="H23" i="1"/>
  <c r="I23" i="1" s="1"/>
  <c r="J23" i="1" s="1"/>
  <c r="I21" i="1"/>
  <c r="J21" i="1" s="1"/>
  <c r="F24" i="1"/>
  <c r="H16" i="1"/>
  <c r="I16" i="1" s="1"/>
  <c r="J16" i="1" s="1"/>
  <c r="I14" i="1"/>
  <c r="J14" i="1" s="1"/>
  <c r="I6" i="1"/>
  <c r="J6" i="1" s="1"/>
  <c r="I5" i="1" l="1"/>
  <c r="H24" i="1"/>
  <c r="J5" i="1"/>
  <c r="I24" i="1"/>
  <c r="K20" i="1" l="1"/>
  <c r="L20" i="1" s="1"/>
  <c r="K14" i="1"/>
  <c r="L14" i="1" s="1"/>
  <c r="K6" i="1"/>
  <c r="L6" i="1" s="1"/>
  <c r="K5" i="1"/>
  <c r="J24" i="1"/>
  <c r="K9" i="1"/>
  <c r="L9" i="1" s="1"/>
  <c r="K16" i="1"/>
  <c r="L16" i="1" s="1"/>
  <c r="K11" i="1"/>
  <c r="L11" i="1" s="1"/>
  <c r="K10" i="1"/>
  <c r="L10" i="1" s="1"/>
  <c r="K21" i="1"/>
  <c r="L21" i="1" s="1"/>
  <c r="K7" i="1"/>
  <c r="L7" i="1" s="1"/>
  <c r="K22" i="1"/>
  <c r="L22" i="1" s="1"/>
  <c r="K12" i="1"/>
  <c r="L12" i="1" s="1"/>
  <c r="K15" i="1"/>
  <c r="L15" i="1" s="1"/>
  <c r="K19" i="1"/>
  <c r="L19" i="1" s="1"/>
  <c r="K13" i="1"/>
  <c r="L13" i="1" s="1"/>
  <c r="K18" i="1"/>
  <c r="L18" i="1" s="1"/>
  <c r="K8" i="1"/>
  <c r="L8" i="1" s="1"/>
  <c r="K17" i="1"/>
  <c r="L17" i="1" s="1"/>
  <c r="K23" i="1"/>
  <c r="L23" i="1" s="1"/>
  <c r="L5" i="1" l="1"/>
  <c r="L24" i="1" s="1"/>
  <c r="K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Capacidad ideal usada por RTVE/Ministerio en mayo de 2025: 32 menores por cada 100.000 habitantes.</t>
        </r>
      </text>
    </comment>
    <comment ref="E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Proxy del volumen de menores atendidos. Aproxima el 'promedio atendido en los últimos 6 meses' que pide el BOE.</t>
        </r>
      </text>
    </comment>
    <comment ref="I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Media simple entre la cuota de volumen y la cuota de ratio; puede ajustarse a otra ponderación si prefieres.</t>
        </r>
      </text>
    </comment>
    <comment ref="J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Como el BOE dice que el esfuerzo se valora 'en sentido inverso', a mayor esfuerzo previo observado corresponde menor índice.</t>
        </r>
      </text>
    </comment>
    <comment ref="L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Parte del 6% total del criterio d) que corresponde a cada comunidad bajo este proxy.</t>
        </r>
      </text>
    </comment>
  </commentList>
</comments>
</file>

<file path=xl/sharedStrings.xml><?xml version="1.0" encoding="utf-8"?>
<sst xmlns="http://schemas.openxmlformats.org/spreadsheetml/2006/main" count="74" uniqueCount="56">
  <si>
    <t>Proxy del criterio d) “esfuerzo MENA” para la versión 2 del modelo</t>
  </si>
  <si>
    <t>CCAA</t>
  </si>
  <si>
    <t>Población 2025</t>
  </si>
  <si>
    <t>Ideal 32 por 100k</t>
  </si>
  <si>
    <t>Déficit/superávit RTVE</t>
  </si>
  <si>
    <t>Menores acogidos proxy (mayo 2025)</t>
  </si>
  <si>
    <t>Ratio proxy por 100.000 hab.</t>
  </si>
  <si>
    <t>Cuota volumen</t>
  </si>
  <si>
    <t>Cuota ratio</t>
  </si>
  <si>
    <t>Esfuerzo compuesto proxy</t>
  </si>
  <si>
    <t>Índice inverso del esfuerzo</t>
  </si>
  <si>
    <t>Cuota normalizada criterio d)</t>
  </si>
  <si>
    <t>Aportación al objetivo (6%)</t>
  </si>
  <si>
    <t>Método / nota</t>
  </si>
  <si>
    <t>Fuentes URL</t>
  </si>
  <si>
    <t>Andalucía</t>
  </si>
  <si>
    <t>Proxy derivado: ideal por población (32 por 100.000) menos déficit reportado por RTVE (1372).</t>
  </si>
  <si>
    <t>INE: https://www.ine.es/jaxi/files/tpx/es/xlsx/78747.xlsx | RTVE: https://www.rtve.es/noticias/20250528/15-autonomias-acogen-menos-menores-migrantes-poblacion/16599899.shtml</t>
  </si>
  <si>
    <t>Aragón</t>
  </si>
  <si>
    <t>Proxy derivado: ideal por población (32 por 100.000) menos déficit reportado por RTVE (212).</t>
  </si>
  <si>
    <t>Asturias</t>
  </si>
  <si>
    <t>Proxy derivado: ideal por población (32 por 100.000) menos déficit reportado por RTVE (214).</t>
  </si>
  <si>
    <t>Baleares</t>
  </si>
  <si>
    <t>Dato aproximado reportado por RTVE: acoge 622 menores.</t>
  </si>
  <si>
    <t>Canarias</t>
  </si>
  <si>
    <t>Dato aproximado reportado por RTVE: acoge 5.566 menores.</t>
  </si>
  <si>
    <t>Cantabria</t>
  </si>
  <si>
    <t>Proxy derivado: ideal por población (32 por 100.000) menos déficit reportado por RTVE (148).</t>
  </si>
  <si>
    <t>Castilla y León</t>
  </si>
  <si>
    <t>Proxy derivado: ideal por población (32 por 100.000) menos déficit reportado por RTVE (565).</t>
  </si>
  <si>
    <t>Castilla-La Mancha</t>
  </si>
  <si>
    <t>Proxy derivado: ideal por población (32 por 100.000) menos déficit reportado por RTVE (501).</t>
  </si>
  <si>
    <t>Cataluña</t>
  </si>
  <si>
    <t>Proxy derivado: ideal por población (32 por 100.000) menos déficit reportado por RTVE (136).</t>
  </si>
  <si>
    <t>Comunidad Valenciana</t>
  </si>
  <si>
    <t>Proxy derivado: ideal por población (32 por 100.000) menos déficit reportado por RTVE (1216).</t>
  </si>
  <si>
    <t>Extremadura</t>
  </si>
  <si>
    <t>Proxy derivado: ideal por población (32 por 100.000) menos déficit reportado por RTVE (260).</t>
  </si>
  <si>
    <t>Galicia</t>
  </si>
  <si>
    <t>Proxy derivado: ideal por población (32 por 100.000) menos déficit reportado por RTVE (620).</t>
  </si>
  <si>
    <t>Madrid</t>
  </si>
  <si>
    <t>Proxy derivado: RTVE informa de 2.352 plazas totales y que el 92% del sistema se dedica a menores migrantes; se aproxima como 2.352×0,92.</t>
  </si>
  <si>
    <t>Murcia</t>
  </si>
  <si>
    <t>Proxy derivado: ideal por población (32 por 100.000) menos déficit reportado por RTVE (195).</t>
  </si>
  <si>
    <t>Navarra</t>
  </si>
  <si>
    <t>Proxy derivado: ideal por población (32 por 100.000) menos déficit reportado por RTVE (49).</t>
  </si>
  <si>
    <t>País Vasco</t>
  </si>
  <si>
    <t>Proxy derivado: ideal por población (32 por 100.000) menos déficit reportado por RTVE (79).</t>
  </si>
  <si>
    <t>La Rioja</t>
  </si>
  <si>
    <t>Proxy derivado: ideal por población (32 por 100.000) menos déficit reportado por RTVE (89).</t>
  </si>
  <si>
    <t>Ceuta</t>
  </si>
  <si>
    <t>Dato aproximado reportado por RTVE: acoge 526 menores.</t>
  </si>
  <si>
    <t>Melilla</t>
  </si>
  <si>
    <t>Dato aproximado reportado por RTVE: acoge 193 menores.</t>
  </si>
  <si>
    <t>Suma / control</t>
  </si>
  <si>
    <t>K debe sumar 100% y L debe sumar 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</si>
</sst>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#,##0.0;[Red]\(#,##0.0\)"/>
    <numFmt numFmtId="166" formatCode="0.0"/>
    <numFmt numFmtId="167" formatCode="0.0%"/>
    <numFmt numFmtId="168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3" fontId="0" fillId="4" borderId="0" xfId="0" applyNumberFormat="1" applyFill="1"/>
    <xf numFmtId="164" fontId="0" fillId="0" borderId="0" xfId="0" applyNumberFormat="1"/>
    <xf numFmtId="165" fontId="0" fillId="4" borderId="0" xfId="0" applyNumberFormat="1" applyFill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2" fillId="0" borderId="0" xfId="0" applyFont="1"/>
    <xf numFmtId="3" fontId="2" fillId="0" borderId="1" xfId="0" applyNumberFormat="1" applyFont="1" applyBorder="1"/>
    <xf numFmtId="164" fontId="2" fillId="0" borderId="0" xfId="0" applyNumberFormat="1" applyFont="1"/>
    <xf numFmtId="165" fontId="0" fillId="0" borderId="0" xfId="0" applyNumberFormat="1"/>
    <xf numFmtId="166" fontId="2" fillId="0" borderId="0" xfId="0" applyNumberFormat="1" applyFont="1"/>
    <xf numFmtId="167" fontId="2" fillId="0" borderId="1" xfId="0" applyNumberFormat="1" applyFont="1" applyBorder="1"/>
    <xf numFmtId="168" fontId="2" fillId="0" borderId="1" xfId="0" applyNumberFormat="1" applyFont="1" applyBorder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pane ySplit="4" topLeftCell="A5" activePane="bottomLeft" state="frozen"/>
      <selection pane="bottomLeft" activeCell="A3" sqref="A3:XFD3"/>
    </sheetView>
  </sheetViews>
  <sheetFormatPr defaultRowHeight="14.4" x14ac:dyDescent="0.3"/>
  <cols>
    <col min="1" max="1" width="22" customWidth="1"/>
    <col min="2" max="2" width="14" customWidth="1"/>
    <col min="3" max="3" width="15" customWidth="1"/>
    <col min="4" max="4" width="17" customWidth="1"/>
    <col min="5" max="5" width="22" customWidth="1"/>
    <col min="6" max="6" width="16" customWidth="1"/>
    <col min="7" max="8" width="12" customWidth="1"/>
    <col min="9" max="9" width="16" customWidth="1"/>
    <col min="10" max="10" width="14" customWidth="1"/>
    <col min="11" max="12" width="18" customWidth="1"/>
    <col min="13" max="13" width="58" customWidth="1"/>
    <col min="14" max="14" width="38" customWidth="1"/>
  </cols>
  <sheetData>
    <row r="1" spans="1:14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4" spans="1:14" ht="36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x14ac:dyDescent="0.3">
      <c r="A5" t="s">
        <v>15</v>
      </c>
      <c r="B5" s="2">
        <v>8676713</v>
      </c>
      <c r="C5" s="3">
        <f t="shared" ref="C5:C23" si="0">B5*32/100000</f>
        <v>2776.5481599999998</v>
      </c>
      <c r="D5" s="4">
        <v>-1372</v>
      </c>
      <c r="E5" s="2">
        <v>1405</v>
      </c>
      <c r="F5" s="5">
        <f t="shared" ref="F5:F23" si="1">E5/B5*100000</f>
        <v>16.192767929514321</v>
      </c>
      <c r="G5" s="6">
        <f t="shared" ref="G5:G23" si="2">E5/SUM($E$5:$E$23)</f>
        <v>8.9581739352206063E-2</v>
      </c>
      <c r="H5" s="6">
        <f t="shared" ref="H5:H23" si="3">F5/SUM($F$5:$F$23)</f>
        <v>1.1737036519266339E-2</v>
      </c>
      <c r="I5" s="6">
        <f t="shared" ref="I5:I23" si="4">(G5+H5)/2</f>
        <v>5.0659387935736204E-2</v>
      </c>
      <c r="J5" s="7">
        <f t="shared" ref="J5:J23" si="5">IF(I5=0,0,1/I5)</f>
        <v>19.739677890868847</v>
      </c>
      <c r="K5" s="6">
        <f t="shared" ref="K5:K23" si="6">J5/SUM($J$5:$J$23)</f>
        <v>1.1567722460178134E-2</v>
      </c>
      <c r="L5" s="6">
        <f t="shared" ref="L5:L23" si="7">K5*6%</f>
        <v>6.9406334761068804E-4</v>
      </c>
      <c r="M5" t="s">
        <v>16</v>
      </c>
      <c r="N5" t="s">
        <v>17</v>
      </c>
    </row>
    <row r="6" spans="1:14" x14ac:dyDescent="0.3">
      <c r="A6" t="s">
        <v>18</v>
      </c>
      <c r="B6" s="2">
        <v>1364621</v>
      </c>
      <c r="C6" s="3">
        <f t="shared" si="0"/>
        <v>436.67872</v>
      </c>
      <c r="D6" s="4">
        <v>-212</v>
      </c>
      <c r="E6" s="2">
        <v>225</v>
      </c>
      <c r="F6" s="5">
        <f t="shared" si="1"/>
        <v>16.488094496567179</v>
      </c>
      <c r="G6" s="6">
        <f t="shared" si="2"/>
        <v>1.4345830145371078E-2</v>
      </c>
      <c r="H6" s="6">
        <f t="shared" si="3"/>
        <v>1.1951098668350256E-2</v>
      </c>
      <c r="I6" s="6">
        <f t="shared" si="4"/>
        <v>1.3148464406860667E-2</v>
      </c>
      <c r="J6" s="7">
        <f t="shared" si="5"/>
        <v>76.05450865260093</v>
      </c>
      <c r="K6" s="6">
        <f t="shared" si="6"/>
        <v>4.4568987032228641E-2</v>
      </c>
      <c r="L6" s="6">
        <f t="shared" si="7"/>
        <v>2.6741392219337182E-3</v>
      </c>
      <c r="M6" t="s">
        <v>19</v>
      </c>
      <c r="N6" t="s">
        <v>17</v>
      </c>
    </row>
    <row r="7" spans="1:14" x14ac:dyDescent="0.3">
      <c r="A7" t="s">
        <v>20</v>
      </c>
      <c r="B7" s="2">
        <v>1015128</v>
      </c>
      <c r="C7" s="3">
        <f t="shared" si="0"/>
        <v>324.84096</v>
      </c>
      <c r="D7" s="4">
        <v>-214</v>
      </c>
      <c r="E7" s="2">
        <v>111</v>
      </c>
      <c r="F7" s="5">
        <f t="shared" si="1"/>
        <v>10.934581648816701</v>
      </c>
      <c r="G7" s="6">
        <f t="shared" si="2"/>
        <v>7.0772762050497319E-3</v>
      </c>
      <c r="H7" s="6">
        <f t="shared" si="3"/>
        <v>7.9257347905998515E-3</v>
      </c>
      <c r="I7" s="6">
        <f t="shared" si="4"/>
        <v>7.5015054978247921E-3</v>
      </c>
      <c r="J7" s="7">
        <f t="shared" si="5"/>
        <v>133.30657429898164</v>
      </c>
      <c r="K7" s="6">
        <f t="shared" si="6"/>
        <v>7.8119484123956057E-2</v>
      </c>
      <c r="L7" s="6">
        <f t="shared" si="7"/>
        <v>4.6871690474373636E-3</v>
      </c>
      <c r="M7" t="s">
        <v>21</v>
      </c>
      <c r="N7" t="s">
        <v>17</v>
      </c>
    </row>
    <row r="8" spans="1:14" x14ac:dyDescent="0.3">
      <c r="A8" t="s">
        <v>22</v>
      </c>
      <c r="B8" s="2">
        <v>1249844</v>
      </c>
      <c r="C8" s="3">
        <f t="shared" si="0"/>
        <v>399.95008000000001</v>
      </c>
      <c r="D8" s="4">
        <v>222.04991999999999</v>
      </c>
      <c r="E8" s="2">
        <v>622</v>
      </c>
      <c r="F8" s="5">
        <f t="shared" si="1"/>
        <v>49.766210823110718</v>
      </c>
      <c r="G8" s="6">
        <f t="shared" si="2"/>
        <v>3.9658250446314713E-2</v>
      </c>
      <c r="H8" s="6">
        <f t="shared" si="3"/>
        <v>3.6072142600877613E-2</v>
      </c>
      <c r="I8" s="6">
        <f t="shared" si="4"/>
        <v>3.7865196523596163E-2</v>
      </c>
      <c r="J8" s="7">
        <f t="shared" si="5"/>
        <v>26.40947603102595</v>
      </c>
      <c r="K8" s="6">
        <f t="shared" si="6"/>
        <v>1.5476315810956143E-2</v>
      </c>
      <c r="L8" s="6">
        <f t="shared" si="7"/>
        <v>9.2857894865736859E-4</v>
      </c>
      <c r="M8" t="s">
        <v>23</v>
      </c>
      <c r="N8" t="s">
        <v>17</v>
      </c>
    </row>
    <row r="9" spans="1:14" x14ac:dyDescent="0.3">
      <c r="A9" t="s">
        <v>24</v>
      </c>
      <c r="B9" s="2">
        <v>2258866</v>
      </c>
      <c r="C9" s="3">
        <f t="shared" si="0"/>
        <v>722.83712000000003</v>
      </c>
      <c r="D9" s="4">
        <v>4843.1628799999999</v>
      </c>
      <c r="E9" s="2">
        <v>5566</v>
      </c>
      <c r="F9" s="5">
        <f t="shared" si="1"/>
        <v>246.40682537166882</v>
      </c>
      <c r="G9" s="6">
        <f t="shared" si="2"/>
        <v>0.3548839581739352</v>
      </c>
      <c r="H9" s="6">
        <f t="shared" si="3"/>
        <v>0.17860355441223844</v>
      </c>
      <c r="I9" s="6">
        <f t="shared" si="4"/>
        <v>0.26674375629308683</v>
      </c>
      <c r="J9" s="7">
        <f t="shared" si="5"/>
        <v>3.7489162404282932</v>
      </c>
      <c r="K9" s="6">
        <f t="shared" si="6"/>
        <v>2.1969164256621086E-3</v>
      </c>
      <c r="L9" s="6">
        <f t="shared" si="7"/>
        <v>1.318149855397265E-4</v>
      </c>
      <c r="M9" t="s">
        <v>25</v>
      </c>
      <c r="N9" t="s">
        <v>17</v>
      </c>
    </row>
    <row r="10" spans="1:14" x14ac:dyDescent="0.3">
      <c r="A10" t="s">
        <v>26</v>
      </c>
      <c r="B10" s="2">
        <v>593623</v>
      </c>
      <c r="C10" s="3">
        <f t="shared" si="0"/>
        <v>189.95936</v>
      </c>
      <c r="D10" s="4">
        <v>-148</v>
      </c>
      <c r="E10" s="2">
        <v>42</v>
      </c>
      <c r="F10" s="5">
        <f t="shared" si="1"/>
        <v>7.0751975580460993</v>
      </c>
      <c r="G10" s="6">
        <f t="shared" si="2"/>
        <v>2.6778882938026014E-3</v>
      </c>
      <c r="H10" s="6">
        <f t="shared" si="3"/>
        <v>5.1283296642850003E-3</v>
      </c>
      <c r="I10" s="6">
        <f t="shared" si="4"/>
        <v>3.9031089790438006E-3</v>
      </c>
      <c r="J10" s="7">
        <f t="shared" si="5"/>
        <v>256.20601560681609</v>
      </c>
      <c r="K10" s="6">
        <f t="shared" si="6"/>
        <v>0.15014024532480694</v>
      </c>
      <c r="L10" s="6">
        <f t="shared" si="7"/>
        <v>9.0084147194884161E-3</v>
      </c>
      <c r="M10" t="s">
        <v>27</v>
      </c>
      <c r="N10" t="s">
        <v>17</v>
      </c>
    </row>
    <row r="11" spans="1:14" x14ac:dyDescent="0.3">
      <c r="A11" t="s">
        <v>28</v>
      </c>
      <c r="B11" s="2">
        <v>2401221</v>
      </c>
      <c r="C11" s="3">
        <f t="shared" si="0"/>
        <v>768.39071999999999</v>
      </c>
      <c r="D11" s="4">
        <v>-565</v>
      </c>
      <c r="E11" s="2">
        <v>203</v>
      </c>
      <c r="F11" s="5">
        <f t="shared" si="1"/>
        <v>8.4540323443781311</v>
      </c>
      <c r="G11" s="6">
        <f t="shared" si="2"/>
        <v>1.294312675337924E-2</v>
      </c>
      <c r="H11" s="6">
        <f t="shared" si="3"/>
        <v>6.1277532533624765E-3</v>
      </c>
      <c r="I11" s="6">
        <f t="shared" si="4"/>
        <v>9.5354400033708583E-3</v>
      </c>
      <c r="J11" s="7">
        <f t="shared" si="5"/>
        <v>104.87193036152412</v>
      </c>
      <c r="K11" s="6">
        <f t="shared" si="6"/>
        <v>6.1456392094746772E-2</v>
      </c>
      <c r="L11" s="6">
        <f t="shared" si="7"/>
        <v>3.6873835256848063E-3</v>
      </c>
      <c r="M11" t="s">
        <v>29</v>
      </c>
      <c r="N11" t="s">
        <v>17</v>
      </c>
    </row>
    <row r="12" spans="1:14" x14ac:dyDescent="0.3">
      <c r="A12" t="s">
        <v>30</v>
      </c>
      <c r="B12" s="2">
        <v>2126378</v>
      </c>
      <c r="C12" s="3">
        <f t="shared" si="0"/>
        <v>680.44096000000002</v>
      </c>
      <c r="D12" s="4">
        <v>-501</v>
      </c>
      <c r="E12" s="2">
        <v>179</v>
      </c>
      <c r="F12" s="5">
        <f t="shared" si="1"/>
        <v>8.4180705406094312</v>
      </c>
      <c r="G12" s="6">
        <f t="shared" si="2"/>
        <v>1.1412904871206326E-2</v>
      </c>
      <c r="H12" s="6">
        <f t="shared" si="3"/>
        <v>6.1016869868681239E-3</v>
      </c>
      <c r="I12" s="6">
        <f t="shared" si="4"/>
        <v>8.7572959290372239E-3</v>
      </c>
      <c r="J12" s="7">
        <f t="shared" si="5"/>
        <v>114.19049991039185</v>
      </c>
      <c r="K12" s="6">
        <f t="shared" si="6"/>
        <v>6.6917201884202998E-2</v>
      </c>
      <c r="L12" s="6">
        <f t="shared" si="7"/>
        <v>4.0150321130521796E-3</v>
      </c>
      <c r="M12" t="s">
        <v>31</v>
      </c>
      <c r="N12" t="s">
        <v>17</v>
      </c>
    </row>
    <row r="13" spans="1:14" x14ac:dyDescent="0.3">
      <c r="A13" t="s">
        <v>32</v>
      </c>
      <c r="B13" s="2">
        <v>8124126</v>
      </c>
      <c r="C13" s="3">
        <f t="shared" si="0"/>
        <v>2599.7203199999999</v>
      </c>
      <c r="D13" s="4">
        <v>-136</v>
      </c>
      <c r="E13" s="2">
        <v>2464</v>
      </c>
      <c r="F13" s="5">
        <f t="shared" si="1"/>
        <v>30.329416358141174</v>
      </c>
      <c r="G13" s="6">
        <f t="shared" si="2"/>
        <v>0.15710277990308594</v>
      </c>
      <c r="H13" s="6">
        <f t="shared" si="3"/>
        <v>2.198373180873555E-2</v>
      </c>
      <c r="I13" s="6">
        <f t="shared" si="4"/>
        <v>8.9543255855910747E-2</v>
      </c>
      <c r="J13" s="7">
        <f t="shared" si="5"/>
        <v>11.167786903004265</v>
      </c>
      <c r="K13" s="6">
        <f t="shared" si="6"/>
        <v>6.5444765665666847E-3</v>
      </c>
      <c r="L13" s="6">
        <f t="shared" si="7"/>
        <v>3.9266859399400106E-4</v>
      </c>
      <c r="M13" t="s">
        <v>33</v>
      </c>
      <c r="N13" t="s">
        <v>17</v>
      </c>
    </row>
    <row r="14" spans="1:14" x14ac:dyDescent="0.3">
      <c r="A14" t="s">
        <v>34</v>
      </c>
      <c r="B14" s="2">
        <v>5425182</v>
      </c>
      <c r="C14" s="3">
        <f t="shared" si="0"/>
        <v>1736.0582400000001</v>
      </c>
      <c r="D14" s="4">
        <v>-1216</v>
      </c>
      <c r="E14" s="2">
        <v>520</v>
      </c>
      <c r="F14" s="5">
        <f t="shared" si="1"/>
        <v>9.5849318972156148</v>
      </c>
      <c r="G14" s="6">
        <f t="shared" si="2"/>
        <v>3.3154807447079826E-2</v>
      </c>
      <c r="H14" s="6">
        <f t="shared" si="3"/>
        <v>6.9474654488965257E-3</v>
      </c>
      <c r="I14" s="6">
        <f t="shared" si="4"/>
        <v>2.0051136447988175E-2</v>
      </c>
      <c r="J14" s="7">
        <f t="shared" si="5"/>
        <v>49.87248491345909</v>
      </c>
      <c r="K14" s="6">
        <f t="shared" si="6"/>
        <v>2.9225961389429896E-2</v>
      </c>
      <c r="L14" s="6">
        <f t="shared" si="7"/>
        <v>1.7535576833657936E-3</v>
      </c>
      <c r="M14" t="s">
        <v>35</v>
      </c>
      <c r="N14" t="s">
        <v>17</v>
      </c>
    </row>
    <row r="15" spans="1:14" x14ac:dyDescent="0.3">
      <c r="A15" t="s">
        <v>36</v>
      </c>
      <c r="B15" s="2">
        <v>1053345</v>
      </c>
      <c r="C15" s="3">
        <f t="shared" si="0"/>
        <v>337.07040000000001</v>
      </c>
      <c r="D15" s="4">
        <v>-260</v>
      </c>
      <c r="E15" s="2">
        <v>77</v>
      </c>
      <c r="F15" s="5">
        <f t="shared" si="1"/>
        <v>7.3100456165833609</v>
      </c>
      <c r="G15" s="6">
        <f t="shared" si="2"/>
        <v>4.9094618719714355E-3</v>
      </c>
      <c r="H15" s="6">
        <f t="shared" si="3"/>
        <v>5.2985550545042075E-3</v>
      </c>
      <c r="I15" s="6">
        <f t="shared" si="4"/>
        <v>5.1040084632378215E-3</v>
      </c>
      <c r="J15" s="7">
        <f t="shared" si="5"/>
        <v>195.92444001662795</v>
      </c>
      <c r="K15" s="6">
        <f t="shared" si="6"/>
        <v>0.11481441378162299</v>
      </c>
      <c r="L15" s="6">
        <f t="shared" si="7"/>
        <v>6.8888648268973793E-3</v>
      </c>
      <c r="M15" t="s">
        <v>37</v>
      </c>
      <c r="N15" t="s">
        <v>17</v>
      </c>
    </row>
    <row r="16" spans="1:14" x14ac:dyDescent="0.3">
      <c r="A16" t="s">
        <v>38</v>
      </c>
      <c r="B16" s="2">
        <v>2714741</v>
      </c>
      <c r="C16" s="3">
        <f t="shared" si="0"/>
        <v>868.71712000000002</v>
      </c>
      <c r="D16" s="4">
        <v>-620</v>
      </c>
      <c r="E16" s="2">
        <v>249</v>
      </c>
      <c r="F16" s="5">
        <f t="shared" si="1"/>
        <v>9.1721457037706351</v>
      </c>
      <c r="G16" s="6">
        <f t="shared" si="2"/>
        <v>1.5876052027543993E-2</v>
      </c>
      <c r="H16" s="6">
        <f t="shared" si="3"/>
        <v>6.6482648027684499E-3</v>
      </c>
      <c r="I16" s="6">
        <f t="shared" si="4"/>
        <v>1.1262158415156221E-2</v>
      </c>
      <c r="J16" s="7">
        <f t="shared" si="5"/>
        <v>88.792926110347977</v>
      </c>
      <c r="K16" s="6">
        <f t="shared" si="6"/>
        <v>5.2033874683777848E-2</v>
      </c>
      <c r="L16" s="6">
        <f t="shared" si="7"/>
        <v>3.1220324810266706E-3</v>
      </c>
      <c r="M16" t="s">
        <v>39</v>
      </c>
      <c r="N16" t="s">
        <v>17</v>
      </c>
    </row>
    <row r="17" spans="1:14" x14ac:dyDescent="0.3">
      <c r="A17" t="s">
        <v>40</v>
      </c>
      <c r="B17" s="2">
        <v>7113886</v>
      </c>
      <c r="C17" s="3">
        <f t="shared" si="0"/>
        <v>2276.4435199999998</v>
      </c>
      <c r="D17" s="4">
        <v>-112</v>
      </c>
      <c r="E17" s="2">
        <v>2164</v>
      </c>
      <c r="F17" s="5">
        <f t="shared" si="1"/>
        <v>30.419379787643493</v>
      </c>
      <c r="G17" s="6">
        <f t="shared" si="2"/>
        <v>0.1379750063759245</v>
      </c>
      <c r="H17" s="6">
        <f t="shared" si="3"/>
        <v>2.2048940182131837E-2</v>
      </c>
      <c r="I17" s="6">
        <f t="shared" si="4"/>
        <v>8.0011973279028162E-2</v>
      </c>
      <c r="J17" s="7">
        <f t="shared" si="5"/>
        <v>12.498129455108799</v>
      </c>
      <c r="K17" s="6">
        <f t="shared" si="6"/>
        <v>7.3240755805317991E-3</v>
      </c>
      <c r="L17" s="6">
        <f t="shared" si="7"/>
        <v>4.3944453483190792E-4</v>
      </c>
      <c r="M17" t="s">
        <v>41</v>
      </c>
      <c r="N17" t="s">
        <v>17</v>
      </c>
    </row>
    <row r="18" spans="1:14" x14ac:dyDescent="0.3">
      <c r="A18" t="s">
        <v>42</v>
      </c>
      <c r="B18" s="2">
        <v>1586989</v>
      </c>
      <c r="C18" s="3">
        <f t="shared" si="0"/>
        <v>507.83647999999999</v>
      </c>
      <c r="D18" s="4">
        <v>-195</v>
      </c>
      <c r="E18" s="2">
        <v>313</v>
      </c>
      <c r="F18" s="5">
        <f t="shared" si="1"/>
        <v>19.722884027551547</v>
      </c>
      <c r="G18" s="6">
        <f t="shared" si="2"/>
        <v>1.9956643713338433E-2</v>
      </c>
      <c r="H18" s="6">
        <f t="shared" si="3"/>
        <v>1.4295777664712721E-2</v>
      </c>
      <c r="I18" s="6">
        <f t="shared" si="4"/>
        <v>1.7126210689025576E-2</v>
      </c>
      <c r="J18" s="7">
        <f t="shared" si="5"/>
        <v>58.390032573918816</v>
      </c>
      <c r="K18" s="6">
        <f t="shared" si="6"/>
        <v>3.4217361346524179E-2</v>
      </c>
      <c r="L18" s="6">
        <f t="shared" si="7"/>
        <v>2.0530416807914508E-3</v>
      </c>
      <c r="M18" t="s">
        <v>43</v>
      </c>
      <c r="N18" t="s">
        <v>17</v>
      </c>
    </row>
    <row r="19" spans="1:14" x14ac:dyDescent="0.3">
      <c r="A19" t="s">
        <v>44</v>
      </c>
      <c r="B19" s="2">
        <v>683854</v>
      </c>
      <c r="C19" s="3">
        <f t="shared" si="0"/>
        <v>218.83328</v>
      </c>
      <c r="D19" s="4">
        <v>-49</v>
      </c>
      <c r="E19" s="2">
        <v>170</v>
      </c>
      <c r="F19" s="5">
        <f t="shared" si="1"/>
        <v>24.859107353323953</v>
      </c>
      <c r="G19" s="6">
        <f t="shared" si="2"/>
        <v>1.0839071665391482E-2</v>
      </c>
      <c r="H19" s="6">
        <f t="shared" si="3"/>
        <v>1.8018676739664542E-2</v>
      </c>
      <c r="I19" s="6">
        <f t="shared" si="4"/>
        <v>1.4428874202528013E-2</v>
      </c>
      <c r="J19" s="7">
        <f t="shared" si="5"/>
        <v>69.305476363831275</v>
      </c>
      <c r="K19" s="6">
        <f t="shared" si="6"/>
        <v>4.0613961381714754E-2</v>
      </c>
      <c r="L19" s="6">
        <f t="shared" si="7"/>
        <v>2.4368376829028851E-3</v>
      </c>
      <c r="M19" t="s">
        <v>45</v>
      </c>
      <c r="N19" t="s">
        <v>17</v>
      </c>
    </row>
    <row r="20" spans="1:14" x14ac:dyDescent="0.3">
      <c r="A20" t="s">
        <v>46</v>
      </c>
      <c r="B20" s="2">
        <v>2242343</v>
      </c>
      <c r="C20" s="3">
        <f t="shared" si="0"/>
        <v>717.54975999999999</v>
      </c>
      <c r="D20" s="4">
        <v>-79</v>
      </c>
      <c r="E20" s="2">
        <v>639</v>
      </c>
      <c r="F20" s="5">
        <f t="shared" si="1"/>
        <v>28.496978383770902</v>
      </c>
      <c r="G20" s="6">
        <f t="shared" si="2"/>
        <v>4.0742157612853866E-2</v>
      </c>
      <c r="H20" s="6">
        <f t="shared" si="3"/>
        <v>2.0655522109313307E-2</v>
      </c>
      <c r="I20" s="6">
        <f t="shared" si="4"/>
        <v>3.0698839861083585E-2</v>
      </c>
      <c r="J20" s="7">
        <f t="shared" si="5"/>
        <v>32.574520878480612</v>
      </c>
      <c r="K20" s="6">
        <f t="shared" si="6"/>
        <v>1.9089116797080433E-2</v>
      </c>
      <c r="L20" s="6">
        <f t="shared" si="7"/>
        <v>1.145347007824826E-3</v>
      </c>
      <c r="M20" t="s">
        <v>47</v>
      </c>
      <c r="N20" t="s">
        <v>17</v>
      </c>
    </row>
    <row r="21" spans="1:14" x14ac:dyDescent="0.3">
      <c r="A21" t="s">
        <v>48</v>
      </c>
      <c r="B21" s="2">
        <v>326803</v>
      </c>
      <c r="C21" s="3">
        <f t="shared" si="0"/>
        <v>104.57696</v>
      </c>
      <c r="D21" s="4">
        <v>-89</v>
      </c>
      <c r="E21" s="2">
        <v>16</v>
      </c>
      <c r="F21" s="5">
        <f t="shared" si="1"/>
        <v>4.8959158881650415</v>
      </c>
      <c r="G21" s="6">
        <f t="shared" si="2"/>
        <v>1.02014792144861E-3</v>
      </c>
      <c r="H21" s="6">
        <f t="shared" si="3"/>
        <v>3.5487165520300843E-3</v>
      </c>
      <c r="I21" s="6">
        <f t="shared" si="4"/>
        <v>2.2844322367393472E-3</v>
      </c>
      <c r="J21" s="7">
        <f t="shared" si="5"/>
        <v>437.74552990345478</v>
      </c>
      <c r="K21" s="6">
        <f t="shared" si="6"/>
        <v>0.25652489499077091</v>
      </c>
      <c r="L21" s="6">
        <f t="shared" si="7"/>
        <v>1.5391493699446254E-2</v>
      </c>
      <c r="M21" t="s">
        <v>49</v>
      </c>
      <c r="N21" t="s">
        <v>17</v>
      </c>
    </row>
    <row r="22" spans="1:14" x14ac:dyDescent="0.3">
      <c r="A22" t="s">
        <v>50</v>
      </c>
      <c r="B22" s="2">
        <v>83567</v>
      </c>
      <c r="C22" s="3">
        <f t="shared" si="0"/>
        <v>26.741440000000001</v>
      </c>
      <c r="D22" s="4">
        <v>499.25855999999999</v>
      </c>
      <c r="E22" s="2">
        <v>526</v>
      </c>
      <c r="F22" s="5">
        <f t="shared" si="1"/>
        <v>629.43506408031885</v>
      </c>
      <c r="G22" s="6">
        <f t="shared" si="2"/>
        <v>3.3537362917623055E-2</v>
      </c>
      <c r="H22" s="6">
        <f t="shared" si="3"/>
        <v>0.45623468240732296</v>
      </c>
      <c r="I22" s="6">
        <f t="shared" si="4"/>
        <v>0.244886022662473</v>
      </c>
      <c r="J22" s="7">
        <f t="shared" si="5"/>
        <v>4.0835323679469546</v>
      </c>
      <c r="K22" s="6">
        <f t="shared" si="6"/>
        <v>2.3930060738942094E-3</v>
      </c>
      <c r="L22" s="6">
        <f t="shared" si="7"/>
        <v>1.4358036443365256E-4</v>
      </c>
      <c r="M22" t="s">
        <v>51</v>
      </c>
      <c r="N22" t="s">
        <v>17</v>
      </c>
    </row>
    <row r="23" spans="1:14" x14ac:dyDescent="0.3">
      <c r="A23" t="s">
        <v>52</v>
      </c>
      <c r="B23" s="2">
        <v>87067</v>
      </c>
      <c r="C23" s="3">
        <f t="shared" si="0"/>
        <v>27.861440000000002</v>
      </c>
      <c r="D23" s="4">
        <v>165.13856000000001</v>
      </c>
      <c r="E23" s="2">
        <v>193</v>
      </c>
      <c r="F23" s="5">
        <f t="shared" si="1"/>
        <v>221.66837033548876</v>
      </c>
      <c r="G23" s="6">
        <f t="shared" si="2"/>
        <v>1.2305534302473858E-2</v>
      </c>
      <c r="H23" s="6">
        <f t="shared" si="3"/>
        <v>0.16067233033407169</v>
      </c>
      <c r="I23" s="6">
        <f t="shared" si="4"/>
        <v>8.6488932318272774E-2</v>
      </c>
      <c r="J23" s="7">
        <f t="shared" si="5"/>
        <v>11.562173022555939</v>
      </c>
      <c r="K23" s="6">
        <f t="shared" si="6"/>
        <v>6.7755922513484893E-3</v>
      </c>
      <c r="L23" s="6">
        <f t="shared" si="7"/>
        <v>4.0653553508090935E-4</v>
      </c>
      <c r="M23" t="s">
        <v>53</v>
      </c>
      <c r="N23" t="s">
        <v>17</v>
      </c>
    </row>
    <row r="24" spans="1:14" x14ac:dyDescent="0.3">
      <c r="A24" s="8" t="s">
        <v>54</v>
      </c>
      <c r="B24" s="9">
        <f>SUM(B5:B23)</f>
        <v>49128297</v>
      </c>
      <c r="C24" s="10">
        <f>SUM(C5:C23)</f>
        <v>15721.055040000001</v>
      </c>
      <c r="D24" s="11"/>
      <c r="E24" s="9">
        <f>SUM(E5:E23)</f>
        <v>15684</v>
      </c>
      <c r="F24" s="12">
        <f>SUMPRODUCT(B5:B23,F5:F23)/SUM(B5:B23)</f>
        <v>31.924574955244225</v>
      </c>
      <c r="G24" s="13">
        <f t="shared" ref="G24:L24" si="8">SUM(G5:G23)</f>
        <v>0.99999999999999978</v>
      </c>
      <c r="H24" s="13">
        <f t="shared" si="8"/>
        <v>0.99999999999999989</v>
      </c>
      <c r="I24" s="13">
        <f t="shared" si="8"/>
        <v>0.99999999999999989</v>
      </c>
      <c r="J24" s="14">
        <f t="shared" si="8"/>
        <v>1706.4446315013743</v>
      </c>
      <c r="K24" s="13">
        <f t="shared" si="8"/>
        <v>1.0000000000000002</v>
      </c>
      <c r="L24" s="13">
        <f t="shared" si="8"/>
        <v>6.0000000000000012E-2</v>
      </c>
      <c r="M24" s="8" t="s">
        <v>55</v>
      </c>
    </row>
  </sheetData>
  <mergeCells count="1">
    <mergeCell ref="A1:N1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Proxy_esfuerzo_MENA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Gloria Rivas Nóvoa</cp:lastModifiedBy>
  <dcterms:created xsi:type="dcterms:W3CDTF">2026-03-19T13:11:27Z</dcterms:created>
  <dcterms:modified xsi:type="dcterms:W3CDTF">2026-05-29T11:31:17Z</dcterms:modified>
</cp:coreProperties>
</file>