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lori\Desktop\Gloria Rivas\TFG\Código\"/>
    </mc:Choice>
  </mc:AlternateContent>
  <xr:revisionPtr revIDLastSave="0" documentId="13_ncr:1_{1B93FDCB-4301-4858-BA80-AA076253E4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iterio_e" sheetId="1" r:id="rId1"/>
    <sheet name="fuentes" sheetId="2" r:id="rId2"/>
  </sheets>
  <definedNames>
    <definedName name="_xlnm._FilterDatabase" localSheetId="0" hidden="1">criterio_e!$A$5:$H$24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F17" i="1" s="1"/>
  <c r="E18" i="1"/>
  <c r="E19" i="1"/>
  <c r="E20" i="1"/>
  <c r="E21" i="1"/>
  <c r="E22" i="1"/>
  <c r="E23" i="1"/>
  <c r="E24" i="1"/>
  <c r="F10" i="1"/>
  <c r="D24" i="1"/>
  <c r="F24" i="1" s="1"/>
  <c r="D23" i="1"/>
  <c r="F23" i="1" s="1"/>
  <c r="F22" i="1"/>
  <c r="D22" i="1"/>
  <c r="D21" i="1"/>
  <c r="D20" i="1"/>
  <c r="D19" i="1"/>
  <c r="F19" i="1" s="1"/>
  <c r="D18" i="1"/>
  <c r="D17" i="1"/>
  <c r="D16" i="1"/>
  <c r="D15" i="1"/>
  <c r="D14" i="1"/>
  <c r="F14" i="1" s="1"/>
  <c r="D13" i="1"/>
  <c r="F13" i="1" s="1"/>
  <c r="F12" i="1"/>
  <c r="D12" i="1"/>
  <c r="D11" i="1"/>
  <c r="D10" i="1"/>
  <c r="D9" i="1"/>
  <c r="F9" i="1" s="1"/>
  <c r="D8" i="1"/>
  <c r="D7" i="1"/>
  <c r="F7" i="1" s="1"/>
  <c r="D6" i="1"/>
  <c r="F21" i="1" l="1"/>
  <c r="F11" i="1"/>
  <c r="F15" i="1"/>
  <c r="F16" i="1"/>
  <c r="F8" i="1"/>
  <c r="F18" i="1"/>
  <c r="F20" i="1"/>
  <c r="F6" i="1"/>
  <c r="G14" i="1"/>
  <c r="H14" i="1" s="1"/>
  <c r="G11" i="1" l="1"/>
  <c r="H11" i="1" s="1"/>
  <c r="G12" i="1"/>
  <c r="H12" i="1" s="1"/>
  <c r="G10" i="1"/>
  <c r="H10" i="1" s="1"/>
  <c r="G17" i="1"/>
  <c r="H17" i="1" s="1"/>
  <c r="G9" i="1"/>
  <c r="H9" i="1" s="1"/>
  <c r="G8" i="1"/>
  <c r="H8" i="1" s="1"/>
  <c r="G7" i="1"/>
  <c r="H7" i="1" s="1"/>
  <c r="G23" i="1"/>
  <c r="H23" i="1" s="1"/>
  <c r="G24" i="1"/>
  <c r="H24" i="1" s="1"/>
  <c r="G22" i="1"/>
  <c r="H22" i="1" s="1"/>
  <c r="G15" i="1"/>
  <c r="H15" i="1" s="1"/>
  <c r="F26" i="1"/>
  <c r="G16" i="1"/>
  <c r="H16" i="1" s="1"/>
  <c r="G6" i="1"/>
  <c r="H6" i="1" s="1"/>
  <c r="G21" i="1"/>
  <c r="H21" i="1" s="1"/>
  <c r="G13" i="1"/>
  <c r="H13" i="1" s="1"/>
  <c r="G18" i="1"/>
  <c r="H18" i="1" s="1"/>
  <c r="G20" i="1"/>
  <c r="H20" i="1" s="1"/>
  <c r="G19" i="1"/>
  <c r="H19" i="1" s="1"/>
  <c r="H26" i="1" l="1"/>
  <c r="G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Fuente de input: archivo aportado por el usuario 'plazasCCAA.xlsx', columna 'Plazas totales'.</t>
        </r>
      </text>
    </comment>
    <comment ref="C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Fuente de input: INE, Censo anual de población 2025 por comunidad autónoma.</t>
        </r>
      </text>
    </comment>
    <comment ref="D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Fórmula: población / 2.500 habitantes.</t>
        </r>
      </text>
    </comment>
    <comment ref="E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Fórmula: ABS(plazas existentes - plazas deseables).</t>
        </r>
      </text>
    </comment>
    <comment ref="F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Operativización inversa: 1 / diferencia. Se protege división entre 0 con MAX(...,0.000001).</t>
        </r>
      </text>
    </comment>
    <comment ref="G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Normalización del índice inverso para obtener una cuota que suma 100% dentro del criterio e).</t>
        </r>
      </text>
    </comment>
    <comment ref="H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Cuota del criterio e) multiplicada por el peso del 10%.</t>
        </r>
      </text>
    </comment>
  </commentList>
</comments>
</file>

<file path=xl/sharedStrings.xml><?xml version="1.0" encoding="utf-8"?>
<sst xmlns="http://schemas.openxmlformats.org/spreadsheetml/2006/main" count="39" uniqueCount="39">
  <si>
    <t>Criterio e) Dimensionamiento estructural del sistema de plazas de acogida</t>
  </si>
  <si>
    <t>Operativización del apartado e): diferencia entre plazas existentes y el promedio deseable de 1 plaza por cada 2.500 habitantes.</t>
  </si>
  <si>
    <t>CCAA</t>
  </si>
  <si>
    <t>Plazas existentes</t>
  </si>
  <si>
    <t>Población</t>
  </si>
  <si>
    <t>Plazas deseables
(1 por cada 2.500 hab.)</t>
  </si>
  <si>
    <t>Diferencia absoluta</t>
  </si>
  <si>
    <t>Índice inverso
(1 / diferencia)</t>
  </si>
  <si>
    <t>Cuota normalizada
criterio e)</t>
  </si>
  <si>
    <t>Aportación al objetivo
(10%)</t>
  </si>
  <si>
    <t>Andalucía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</si>
  <si>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</si>
  <si>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</si>
  <si>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</si>
  <si>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</si>
  <si>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</si>
  <si>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</si>
  <si>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</si>
  <si>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</si>
  <si>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Comunidad Valenciana</t>
  </si>
  <si>
    <t>Extremadura</t>
  </si>
  <si>
    <t>Galicia</t>
  </si>
  <si>
    <t>Madrid</t>
  </si>
  <si>
    <t>Murcia</t>
  </si>
  <si>
    <t>Navarra</t>
  </si>
  <si>
    <t>País Vasco</t>
  </si>
  <si>
    <t>La Rioja</t>
  </si>
  <si>
    <t>Ceuta</t>
  </si>
  <si>
    <t>Melilla</t>
  </si>
  <si>
    <t>Suma</t>
  </si>
  <si>
    <t>Fuente / referencia</t>
  </si>
  <si>
    <t>Detalle</t>
  </si>
  <si>
    <t>https://www.boe.es/buscar/doc.php?id=BOE-A-2025-5404</t>
  </si>
  <si>
    <t>Texto legal del criterio e): diferencia entre plazas existentes y el promedio deseable de 1 plaza por cada 2.500 habitantes.</t>
  </si>
  <si>
    <t>https://www.ine.es/jaxi/files/tpx/es/xlsx/78747.xlsx</t>
  </si>
  <si>
    <t>INE. Censo anual de población 2025 por comunidad autónoma.</t>
  </si>
  <si>
    <t>Archivo del usuario: plazasCCAA.xlsx</t>
  </si>
  <si>
    <t>Columna usada: 'Plazas totales'.</t>
  </si>
  <si>
    <t>Supuesto operativo: 'Plazas existentes' se toma de la columna 'Plazas totales' del archivo 'plazasCCAA.xlsx'.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</si>
</sst>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000"/>
    <numFmt numFmtId="166" formatCode="0.0000%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1"/>
      <name val="Calibri"/>
      <family val="2"/>
    </font>
    <font>
      <i/>
      <sz val="11"/>
      <color rgb="FF9C6500"/>
      <name val="Calibri"/>
      <family val="2"/>
    </font>
    <font>
      <b/>
      <sz val="11"/>
      <name val="Calibri"/>
      <family val="2"/>
    </font>
    <font>
      <sz val="11"/>
      <color rgb="FF008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3" fontId="5" fillId="0" borderId="3" xfId="0" applyNumberFormat="1" applyFont="1" applyBorder="1"/>
    <xf numFmtId="164" fontId="6" fillId="0" borderId="3" xfId="0" applyNumberFormat="1" applyFont="1" applyBorder="1"/>
    <xf numFmtId="165" fontId="6" fillId="0" borderId="3" xfId="0" applyNumberFormat="1" applyFont="1" applyBorder="1"/>
    <xf numFmtId="166" fontId="6" fillId="0" borderId="3" xfId="0" applyNumberFormat="1" applyFont="1" applyBorder="1"/>
    <xf numFmtId="0" fontId="4" fillId="0" borderId="2" xfId="0" applyFont="1" applyBorder="1"/>
    <xf numFmtId="0" fontId="0" fillId="0" borderId="2" xfId="0" applyBorder="1"/>
    <xf numFmtId="166" fontId="0" fillId="0" borderId="2" xfId="0" applyNumberFormat="1" applyBorder="1"/>
    <xf numFmtId="0" fontId="7" fillId="2" borderId="0" xfId="0" applyFont="1" applyFill="1"/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  <xf numFmtId="0" fontId="0" fillId="0" borderId="0" xfId="0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144780</xdr:colOff>
      <xdr:row>38</xdr:row>
      <xdr:rowOff>60960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5FF7411B-CD53-F954-E28E-94FA015C364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144780</xdr:colOff>
      <xdr:row>38</xdr:row>
      <xdr:rowOff>60960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3187D7E5-39DB-D648-DF48-2715505B89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3" workbookViewId="0">
      <selection activeCell="J20" sqref="J20"/>
    </sheetView>
  </sheetViews>
  <sheetFormatPr defaultRowHeight="14.4" x14ac:dyDescent="0.3"/>
  <cols>
    <col min="1" max="1" width="24" customWidth="1"/>
    <col min="2" max="2" width="17" customWidth="1"/>
    <col min="3" max="3" width="14" customWidth="1"/>
    <col min="4" max="4" width="20" customWidth="1"/>
    <col min="5" max="5" width="18" customWidth="1"/>
    <col min="6" max="8" width="16" customWidth="1"/>
  </cols>
  <sheetData>
    <row r="1" spans="1:8" ht="18" x14ac:dyDescent="0.35">
      <c r="A1" s="15" t="s">
        <v>0</v>
      </c>
      <c r="B1" s="13"/>
      <c r="C1" s="13"/>
      <c r="D1" s="13"/>
      <c r="E1" s="13"/>
      <c r="F1" s="13"/>
      <c r="G1" s="13"/>
      <c r="H1" s="13"/>
    </row>
    <row r="2" spans="1:8" ht="27.15" customHeight="1" x14ac:dyDescent="0.3">
      <c r="A2" s="14" t="s">
        <v>1</v>
      </c>
      <c r="B2" s="13"/>
      <c r="C2" s="13"/>
      <c r="D2" s="13"/>
      <c r="E2" s="13"/>
      <c r="F2" s="13"/>
      <c r="G2" s="13"/>
      <c r="H2" s="13"/>
    </row>
    <row r="3" spans="1:8" ht="27.15" customHeight="1" x14ac:dyDescent="0.3">
      <c r="A3" s="12" t="s">
        <v>38</v>
      </c>
      <c r="B3" s="13"/>
      <c r="C3" s="13"/>
      <c r="D3" s="13"/>
      <c r="E3" s="13"/>
      <c r="F3" s="13"/>
      <c r="G3" s="13"/>
      <c r="H3" s="13"/>
    </row>
    <row r="5" spans="1:8" ht="33.6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x14ac:dyDescent="0.3">
      <c r="A6" s="2" t="s">
        <v>10</v>
      </c>
      <c r="B6" s="3">
        <v>3000</v>
      </c>
      <c r="C6" s="3">
        <v>8676713</v>
      </c>
      <c r="D6" s="4">
        <f t="shared" ref="D6:D24" si="0">C6/2500</f>
        <v>3470.6851999999999</v>
      </c>
      <c r="E6" s="4">
        <f t="shared" ref="E6:E24" si="1">ABS(B6-D6)</f>
        <v>470.6851999999999</v>
      </c>
      <c r="F6" s="5">
        <f t="shared" ref="F6:F24" si="2">1/MAX(E6,0.000001)</f>
        <v>2.1245622339516948E-3</v>
      </c>
      <c r="G6" s="6">
        <f t="shared" ref="G6:G24" si="3">F6/SUM($F$6:$F$24)</f>
        <v>3.3027154807864431E-3</v>
      </c>
      <c r="H6" s="6">
        <f t="shared" ref="H6:H24" si="4">G6*10%</f>
        <v>3.3027154807864435E-4</v>
      </c>
    </row>
    <row r="7" spans="1:8" x14ac:dyDescent="0.3">
      <c r="A7" s="2" t="s">
        <v>11</v>
      </c>
      <c r="B7" s="3">
        <v>459</v>
      </c>
      <c r="C7" s="3">
        <v>1364621</v>
      </c>
      <c r="D7" s="4">
        <f t="shared" si="0"/>
        <v>545.84839999999997</v>
      </c>
      <c r="E7" s="4">
        <f t="shared" si="1"/>
        <v>86.84839999999997</v>
      </c>
      <c r="F7" s="5">
        <f t="shared" si="2"/>
        <v>1.1514316901635497E-2</v>
      </c>
      <c r="G7" s="6">
        <f t="shared" si="3"/>
        <v>1.7899458097294402E-2</v>
      </c>
      <c r="H7" s="6">
        <f t="shared" si="4"/>
        <v>1.7899458097294402E-3</v>
      </c>
    </row>
    <row r="8" spans="1:8" x14ac:dyDescent="0.3">
      <c r="A8" s="2" t="s">
        <v>12</v>
      </c>
      <c r="B8" s="3">
        <v>410</v>
      </c>
      <c r="C8" s="3">
        <v>1015128</v>
      </c>
      <c r="D8" s="4">
        <f t="shared" si="0"/>
        <v>406.05119999999999</v>
      </c>
      <c r="E8" s="4">
        <f t="shared" si="1"/>
        <v>3.9488000000000056</v>
      </c>
      <c r="F8" s="5">
        <f t="shared" si="2"/>
        <v>0.25324149108589916</v>
      </c>
      <c r="G8" s="6">
        <f t="shared" si="3"/>
        <v>0.39367384942692984</v>
      </c>
      <c r="H8" s="6">
        <f t="shared" si="4"/>
        <v>3.9367384942692984E-2</v>
      </c>
    </row>
    <row r="9" spans="1:8" x14ac:dyDescent="0.3">
      <c r="A9" s="2" t="s">
        <v>13</v>
      </c>
      <c r="B9" s="3">
        <v>495</v>
      </c>
      <c r="C9" s="3">
        <v>1249844</v>
      </c>
      <c r="D9" s="4">
        <f t="shared" si="0"/>
        <v>499.93759999999997</v>
      </c>
      <c r="E9" s="4">
        <f t="shared" si="1"/>
        <v>4.9375999999999749</v>
      </c>
      <c r="F9" s="5">
        <f t="shared" si="2"/>
        <v>0.20252754374595047</v>
      </c>
      <c r="G9" s="6">
        <f t="shared" si="3"/>
        <v>0.31483702540041125</v>
      </c>
      <c r="H9" s="6">
        <f t="shared" si="4"/>
        <v>3.1483702540041125E-2</v>
      </c>
    </row>
    <row r="10" spans="1:8" x14ac:dyDescent="0.3">
      <c r="A10" s="2" t="s">
        <v>14</v>
      </c>
      <c r="B10" s="3">
        <v>1063</v>
      </c>
      <c r="C10" s="3">
        <v>2258866</v>
      </c>
      <c r="D10" s="4">
        <f t="shared" si="0"/>
        <v>903.54639999999995</v>
      </c>
      <c r="E10" s="4">
        <f t="shared" si="1"/>
        <v>159.45360000000005</v>
      </c>
      <c r="F10" s="5">
        <f t="shared" si="2"/>
        <v>6.2714168886748222E-3</v>
      </c>
      <c r="G10" s="6">
        <f t="shared" si="3"/>
        <v>9.7491639989129263E-3</v>
      </c>
      <c r="H10" s="6">
        <f t="shared" si="4"/>
        <v>9.7491639989129265E-4</v>
      </c>
    </row>
    <row r="11" spans="1:8" x14ac:dyDescent="0.3">
      <c r="A11" s="2" t="s">
        <v>15</v>
      </c>
      <c r="B11" s="3">
        <v>204</v>
      </c>
      <c r="C11" s="3">
        <v>593623</v>
      </c>
      <c r="D11" s="4">
        <f t="shared" si="0"/>
        <v>237.44919999999999</v>
      </c>
      <c r="E11" s="4">
        <f t="shared" si="1"/>
        <v>33.44919999999999</v>
      </c>
      <c r="F11" s="5">
        <f t="shared" si="2"/>
        <v>2.9896081221673473E-2</v>
      </c>
      <c r="G11" s="6">
        <f t="shared" si="3"/>
        <v>4.6474633073946857E-2</v>
      </c>
      <c r="H11" s="6">
        <f t="shared" si="4"/>
        <v>4.6474633073946862E-3</v>
      </c>
    </row>
    <row r="12" spans="1:8" x14ac:dyDescent="0.3">
      <c r="A12" s="2" t="s">
        <v>16</v>
      </c>
      <c r="B12" s="3">
        <v>770</v>
      </c>
      <c r="C12" s="3">
        <v>2401221</v>
      </c>
      <c r="D12" s="4">
        <f t="shared" si="0"/>
        <v>960.48839999999996</v>
      </c>
      <c r="E12" s="4">
        <f t="shared" si="1"/>
        <v>190.48839999999996</v>
      </c>
      <c r="F12" s="5">
        <f t="shared" si="2"/>
        <v>5.2496634965698711E-3</v>
      </c>
      <c r="G12" s="6">
        <f t="shared" si="3"/>
        <v>8.1608081994339974E-3</v>
      </c>
      <c r="H12" s="6">
        <f t="shared" si="4"/>
        <v>8.160808199433998E-4</v>
      </c>
    </row>
    <row r="13" spans="1:8" x14ac:dyDescent="0.3">
      <c r="A13" s="2" t="s">
        <v>17</v>
      </c>
      <c r="B13" s="3">
        <v>570</v>
      </c>
      <c r="C13" s="3">
        <v>2126378</v>
      </c>
      <c r="D13" s="4">
        <f t="shared" si="0"/>
        <v>850.55119999999999</v>
      </c>
      <c r="E13" s="4">
        <f t="shared" si="1"/>
        <v>280.55119999999999</v>
      </c>
      <c r="F13" s="5">
        <f t="shared" si="2"/>
        <v>3.5644117722540484E-3</v>
      </c>
      <c r="G13" s="6">
        <f t="shared" si="3"/>
        <v>5.5410181692933866E-3</v>
      </c>
      <c r="H13" s="6">
        <f t="shared" si="4"/>
        <v>5.5410181692933872E-4</v>
      </c>
    </row>
    <row r="14" spans="1:8" x14ac:dyDescent="0.3">
      <c r="A14" s="2" t="s">
        <v>18</v>
      </c>
      <c r="B14" s="3">
        <v>4651</v>
      </c>
      <c r="C14" s="3">
        <v>8124126</v>
      </c>
      <c r="D14" s="4">
        <f t="shared" si="0"/>
        <v>3249.6504</v>
      </c>
      <c r="E14" s="4">
        <f t="shared" si="1"/>
        <v>1401.3496</v>
      </c>
      <c r="F14" s="5">
        <f t="shared" si="2"/>
        <v>7.1359780600072954E-4</v>
      </c>
      <c r="G14" s="6">
        <f t="shared" si="3"/>
        <v>1.1093158314078532E-3</v>
      </c>
      <c r="H14" s="6">
        <f t="shared" si="4"/>
        <v>1.1093158314078532E-4</v>
      </c>
    </row>
    <row r="15" spans="1:8" x14ac:dyDescent="0.3">
      <c r="A15" s="2" t="s">
        <v>19</v>
      </c>
      <c r="B15" s="3">
        <v>1618</v>
      </c>
      <c r="C15" s="3">
        <v>5425182</v>
      </c>
      <c r="D15" s="4">
        <f t="shared" si="0"/>
        <v>2170.0727999999999</v>
      </c>
      <c r="E15" s="4">
        <f t="shared" si="1"/>
        <v>552.07279999999992</v>
      </c>
      <c r="F15" s="5">
        <f t="shared" si="2"/>
        <v>1.811355314009312E-3</v>
      </c>
      <c r="G15" s="6">
        <f t="shared" si="3"/>
        <v>2.8158230157636147E-3</v>
      </c>
      <c r="H15" s="6">
        <f t="shared" si="4"/>
        <v>2.8158230157636149E-4</v>
      </c>
    </row>
    <row r="16" spans="1:8" x14ac:dyDescent="0.3">
      <c r="A16" s="2" t="s">
        <v>20</v>
      </c>
      <c r="B16" s="3">
        <v>376</v>
      </c>
      <c r="C16" s="3">
        <v>1053345</v>
      </c>
      <c r="D16" s="4">
        <f t="shared" si="0"/>
        <v>421.33800000000002</v>
      </c>
      <c r="E16" s="4">
        <f t="shared" si="1"/>
        <v>45.338000000000022</v>
      </c>
      <c r="F16" s="5">
        <f t="shared" si="2"/>
        <v>2.2056553001896854E-2</v>
      </c>
      <c r="G16" s="6">
        <f t="shared" si="3"/>
        <v>3.4287778389365697E-2</v>
      </c>
      <c r="H16" s="6">
        <f t="shared" si="4"/>
        <v>3.42877783893657E-3</v>
      </c>
    </row>
    <row r="17" spans="1:8" x14ac:dyDescent="0.3">
      <c r="A17" s="2" t="s">
        <v>21</v>
      </c>
      <c r="B17" s="3">
        <v>876</v>
      </c>
      <c r="C17" s="3">
        <v>2714741</v>
      </c>
      <c r="D17" s="4">
        <f t="shared" si="0"/>
        <v>1085.8964000000001</v>
      </c>
      <c r="E17" s="4">
        <f t="shared" si="1"/>
        <v>209.89640000000009</v>
      </c>
      <c r="F17" s="5">
        <f t="shared" si="2"/>
        <v>4.7642551277677922E-3</v>
      </c>
      <c r="G17" s="6">
        <f t="shared" si="3"/>
        <v>7.4062218152243777E-3</v>
      </c>
      <c r="H17" s="6">
        <f t="shared" si="4"/>
        <v>7.4062218152243784E-4</v>
      </c>
    </row>
    <row r="18" spans="1:8" x14ac:dyDescent="0.3">
      <c r="A18" s="2" t="s">
        <v>22</v>
      </c>
      <c r="B18" s="3">
        <v>1894</v>
      </c>
      <c r="C18" s="3">
        <v>7113886</v>
      </c>
      <c r="D18" s="4">
        <f t="shared" si="0"/>
        <v>2845.5544</v>
      </c>
      <c r="E18" s="4">
        <f t="shared" si="1"/>
        <v>951.55439999999999</v>
      </c>
      <c r="F18" s="5">
        <f t="shared" si="2"/>
        <v>1.0509120655634613E-3</v>
      </c>
      <c r="G18" s="6">
        <f t="shared" si="3"/>
        <v>1.6336841032074075E-3</v>
      </c>
      <c r="H18" s="6">
        <f t="shared" si="4"/>
        <v>1.6336841032074076E-4</v>
      </c>
    </row>
    <row r="19" spans="1:8" x14ac:dyDescent="0.3">
      <c r="A19" s="2" t="s">
        <v>23</v>
      </c>
      <c r="B19" s="3">
        <v>410</v>
      </c>
      <c r="C19" s="3">
        <v>1586989</v>
      </c>
      <c r="D19" s="4">
        <f t="shared" si="0"/>
        <v>634.79560000000004</v>
      </c>
      <c r="E19" s="4">
        <f t="shared" si="1"/>
        <v>224.79560000000004</v>
      </c>
      <c r="F19" s="5">
        <f t="shared" si="2"/>
        <v>4.4484856465162124E-3</v>
      </c>
      <c r="G19" s="6">
        <f t="shared" si="3"/>
        <v>6.9153457479464121E-3</v>
      </c>
      <c r="H19" s="6">
        <f t="shared" si="4"/>
        <v>6.915345747946413E-4</v>
      </c>
    </row>
    <row r="20" spans="1:8" x14ac:dyDescent="0.3">
      <c r="A20" s="2" t="s">
        <v>24</v>
      </c>
      <c r="B20" s="3">
        <v>387</v>
      </c>
      <c r="C20" s="3">
        <v>683854</v>
      </c>
      <c r="D20" s="4">
        <f t="shared" si="0"/>
        <v>273.54160000000002</v>
      </c>
      <c r="E20" s="4">
        <f t="shared" si="1"/>
        <v>113.45839999999998</v>
      </c>
      <c r="F20" s="5">
        <f t="shared" si="2"/>
        <v>8.8138031207914101E-3</v>
      </c>
      <c r="G20" s="6">
        <f t="shared" si="3"/>
        <v>1.3701403303916351E-2</v>
      </c>
      <c r="H20" s="6">
        <f t="shared" si="4"/>
        <v>1.3701403303916352E-3</v>
      </c>
    </row>
    <row r="21" spans="1:8" x14ac:dyDescent="0.3">
      <c r="A21" s="2" t="s">
        <v>25</v>
      </c>
      <c r="B21" s="3">
        <v>1491</v>
      </c>
      <c r="C21" s="3">
        <v>2242343</v>
      </c>
      <c r="D21" s="4">
        <f t="shared" si="0"/>
        <v>896.93719999999996</v>
      </c>
      <c r="E21" s="4">
        <f t="shared" si="1"/>
        <v>594.06280000000004</v>
      </c>
      <c r="F21" s="5">
        <f t="shared" si="2"/>
        <v>1.6833237159438361E-3</v>
      </c>
      <c r="G21" s="6">
        <f t="shared" si="3"/>
        <v>2.616792865362151E-3</v>
      </c>
      <c r="H21" s="6">
        <f t="shared" si="4"/>
        <v>2.6167928653621512E-4</v>
      </c>
    </row>
    <row r="22" spans="1:8" x14ac:dyDescent="0.3">
      <c r="A22" s="2" t="s">
        <v>26</v>
      </c>
      <c r="B22" s="3">
        <v>113</v>
      </c>
      <c r="C22" s="3">
        <v>326803</v>
      </c>
      <c r="D22" s="4">
        <f t="shared" si="0"/>
        <v>130.72120000000001</v>
      </c>
      <c r="E22" s="4">
        <f t="shared" si="1"/>
        <v>17.72120000000001</v>
      </c>
      <c r="F22" s="5">
        <f t="shared" si="2"/>
        <v>5.6429587161140299E-2</v>
      </c>
      <c r="G22" s="6">
        <f t="shared" si="3"/>
        <v>8.7722010733870273E-2</v>
      </c>
      <c r="H22" s="6">
        <f t="shared" si="4"/>
        <v>8.7722010733870277E-3</v>
      </c>
    </row>
    <row r="23" spans="1:8" x14ac:dyDescent="0.3">
      <c r="A23" s="2" t="s">
        <v>27</v>
      </c>
      <c r="B23" s="3">
        <v>82</v>
      </c>
      <c r="C23" s="3">
        <v>83567</v>
      </c>
      <c r="D23" s="4">
        <f t="shared" si="0"/>
        <v>33.4268</v>
      </c>
      <c r="E23" s="4">
        <f t="shared" si="1"/>
        <v>48.5732</v>
      </c>
      <c r="F23" s="5">
        <f t="shared" si="2"/>
        <v>2.0587484456449236E-2</v>
      </c>
      <c r="G23" s="6">
        <f t="shared" si="3"/>
        <v>3.2004053606043303E-2</v>
      </c>
      <c r="H23" s="6">
        <f t="shared" si="4"/>
        <v>3.2004053606043306E-3</v>
      </c>
    </row>
    <row r="24" spans="1:8" x14ac:dyDescent="0.3">
      <c r="A24" s="2" t="s">
        <v>28</v>
      </c>
      <c r="B24" s="3">
        <v>188</v>
      </c>
      <c r="C24" s="3">
        <v>87067</v>
      </c>
      <c r="D24" s="4">
        <f t="shared" si="0"/>
        <v>34.826799999999999</v>
      </c>
      <c r="E24" s="4">
        <f t="shared" si="1"/>
        <v>153.17320000000001</v>
      </c>
      <c r="F24" s="5">
        <f t="shared" si="2"/>
        <v>6.5285572149697199E-3</v>
      </c>
      <c r="G24" s="6">
        <f t="shared" si="3"/>
        <v>1.0148898740883278E-2</v>
      </c>
      <c r="H24" s="6">
        <f t="shared" si="4"/>
        <v>1.0148898740883279E-3</v>
      </c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7" t="s">
        <v>29</v>
      </c>
      <c r="B26" s="8"/>
      <c r="C26" s="8"/>
      <c r="D26" s="8"/>
      <c r="E26" s="8"/>
      <c r="F26" s="8">
        <f>SUM(F6:F24)</f>
        <v>0.64327740197765804</v>
      </c>
      <c r="G26" s="9">
        <f>SUM(G6:G24)</f>
        <v>0.99999999999999989</v>
      </c>
      <c r="H26" s="9">
        <f>SUM(H6:H24)</f>
        <v>9.9999999999999978E-2</v>
      </c>
    </row>
  </sheetData>
  <mergeCells count="3">
    <mergeCell ref="A3:H3"/>
    <mergeCell ref="A2:H2"/>
    <mergeCell ref="A1:H1"/>
  </mergeCells>
  <conditionalFormatting sqref="E6:E24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cols>
    <col min="1" max="1" width="58" customWidth="1"/>
    <col min="2" max="2" width="90" customWidth="1"/>
  </cols>
  <sheetData>
    <row r="1" spans="1:2" x14ac:dyDescent="0.3">
      <c r="A1" s="10" t="s">
        <v>30</v>
      </c>
      <c r="B1" s="10" t="s">
        <v>31</v>
      </c>
    </row>
    <row r="2" spans="1:2" ht="28.8" x14ac:dyDescent="0.3">
      <c r="A2" t="s">
        <v>32</v>
      </c>
      <c r="B2" s="11" t="s">
        <v>33</v>
      </c>
    </row>
    <row r="3" spans="1:2" x14ac:dyDescent="0.3">
      <c r="A3" t="s">
        <v>34</v>
      </c>
      <c r="B3" s="11" t="s">
        <v>35</v>
      </c>
    </row>
    <row r="4" spans="1:2" x14ac:dyDescent="0.3">
      <c r="A4" t="s">
        <v>36</v>
      </c>
      <c r="B4" s="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criterio_e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 Rivas Nóvoa</cp:lastModifiedBy>
  <dcterms:modified xsi:type="dcterms:W3CDTF">2026-03-23T11:52:11Z</dcterms:modified>
</cp:coreProperties>
</file>