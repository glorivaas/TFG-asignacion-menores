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ri\Desktop\Gloria Rivas\TFG\Código\"/>
    </mc:Choice>
  </mc:AlternateContent>
  <xr:revisionPtr revIDLastSave="0" documentId="13_ncr:1_{FFD5BD6C-A199-4B92-8311-FD249E5C945C}" xr6:coauthVersionLast="47" xr6:coauthVersionMax="47" xr10:uidLastSave="{00000000-0000-0000-0000-000000000000}"/>
  <bookViews>
    <workbookView xWindow="-108" yWindow="-108" windowWidth="23256" windowHeight="12456" xr2:uid="{6F52EC83-57C6-484A-A3DE-B20D08E6C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3" i="1"/>
  <c r="B5" i="1"/>
  <c r="B4" i="1"/>
  <c r="B22" i="1"/>
</calcChain>
</file>

<file path=xl/sharedStrings.xml><?xml version="1.0" encoding="utf-8"?>
<sst xmlns="http://schemas.openxmlformats.org/spreadsheetml/2006/main" count="27" uniqueCount="27">
  <si>
    <t>Comunidad Autónoma</t>
  </si>
  <si>
    <t>Costes plaza ordinaria</t>
  </si>
  <si>
    <t>Costes plaza emergencia</t>
  </si>
  <si>
    <t>Pisos asistidos</t>
  </si>
  <si>
    <t>Necesidades específicas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</si>
  <si>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</si>
  <si>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</si>
  <si>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</si>
  <si>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</si>
  <si>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</si>
  <si>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</si>
  <si>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</si>
  <si>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</si>
  <si>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</si>
  <si>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</si>
  <si>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</si>
  <si>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</si>
  <si>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</si>
  <si>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</si>
  <si>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</si>
  <si>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</si>
  <si>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</si>
  <si>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</si>
  <si>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77-80</t>
  </si>
  <si>
    <t>Melilla</t>
  </si>
  <si>
    <t>Media teórica</t>
  </si>
  <si>
    <t>Media 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</si>
</sst>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top"/>
    </xf>
    <xf numFmtId="0" fontId="0" fillId="2" borderId="2" xfId="0" applyFill="1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4">
    <dxf>
      <fill>
        <patternFill patternType="solid">
          <fgColor theme="0" tint="-0.14999847407452621"/>
          <bgColor theme="0"/>
        </patternFill>
      </fill>
    </dxf>
    <dxf>
      <fill>
        <patternFill patternType="solid">
          <fgColor theme="0" tint="-0.14999847407452621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A9A59-9154-40BE-A7DA-6D21D2B5ADC0}" name="Table1" displayName="Table1" ref="A1:E22" totalsRowCount="1">
  <autoFilter ref="A1:E21" xr:uid="{B74A9A59-9154-40BE-A7DA-6D21D2B5ADC0}"/>
  <tableColumns count="5">
    <tableColumn id="1" xr3:uid="{555F62FD-ADF0-4144-9E6B-52C6B08D8CD4}" name="Comunidad Autónoma" totalsRowLabel="Media calculada" dataDxfId="3" totalsRowDxfId="1"/>
    <tableColumn id="2" xr3:uid="{0450813E-9A45-41FB-8185-06818C9456D7}" name="Costes plaza ordinaria" totalsRowFunction="custom" dataDxfId="2" totalsRowDxfId="0">
      <totalsRowFormula>(B2+B3+B7+B8+B9+B10+B11+B12+B14+B15+B17+B19+105+171+36.5)/15</totalsRowFormula>
    </tableColumn>
    <tableColumn id="3" xr3:uid="{885633D9-5890-4792-85DC-75112870D706}" name="Costes plaza emergencia"/>
    <tableColumn id="4" xr3:uid="{A9F81DA1-10D1-4C35-ACB7-FA0C99C5885E}" name="Pisos asistidos"/>
    <tableColumn id="5" xr3:uid="{B6CEC1BB-AFC6-4C10-800D-E06036A7B49F}" name="Necesidades específica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03D7-46F5-48E5-AF6C-B8F4BD8326F8}">
  <dimension ref="A1:E22"/>
  <sheetViews>
    <sheetView tabSelected="1" workbookViewId="0">
      <selection activeCell="B21" sqref="B21"/>
    </sheetView>
  </sheetViews>
  <sheetFormatPr defaultRowHeight="14.4" x14ac:dyDescent="0.3"/>
  <sheetData>
    <row r="1" spans="1:5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147</v>
      </c>
    </row>
    <row r="3" spans="1:5" x14ac:dyDescent="0.3">
      <c r="A3" s="3" t="s">
        <v>6</v>
      </c>
      <c r="B3" s="3">
        <v>87</v>
      </c>
    </row>
    <row r="4" spans="1:5" x14ac:dyDescent="0.3">
      <c r="A4" t="s">
        <v>7</v>
      </c>
      <c r="B4">
        <f>Table1[[#Totals],[Costes plaza ordinaria]]</f>
        <v>129.81666666666666</v>
      </c>
    </row>
    <row r="5" spans="1:5" x14ac:dyDescent="0.3">
      <c r="A5" s="3" t="s">
        <v>8</v>
      </c>
      <c r="B5">
        <f>Table1[[#Totals],[Costes plaza ordinaria]]</f>
        <v>129.81666666666666</v>
      </c>
      <c r="C5">
        <v>20</v>
      </c>
    </row>
    <row r="6" spans="1:5" x14ac:dyDescent="0.3">
      <c r="A6" t="s">
        <v>9</v>
      </c>
      <c r="B6">
        <v>110</v>
      </c>
    </row>
    <row r="7" spans="1:5" x14ac:dyDescent="0.3">
      <c r="A7" s="3" t="s">
        <v>10</v>
      </c>
      <c r="B7" s="3">
        <v>80</v>
      </c>
    </row>
    <row r="8" spans="1:5" x14ac:dyDescent="0.3">
      <c r="A8" t="s">
        <v>11</v>
      </c>
      <c r="B8">
        <v>65</v>
      </c>
    </row>
    <row r="9" spans="1:5" x14ac:dyDescent="0.3">
      <c r="A9" s="3" t="s">
        <v>12</v>
      </c>
      <c r="B9" s="3">
        <v>145</v>
      </c>
    </row>
    <row r="10" spans="1:5" x14ac:dyDescent="0.3">
      <c r="A10" t="s">
        <v>13</v>
      </c>
      <c r="B10">
        <v>139</v>
      </c>
      <c r="D10">
        <v>41.53</v>
      </c>
    </row>
    <row r="11" spans="1:5" x14ac:dyDescent="0.3">
      <c r="A11" s="3" t="s">
        <v>14</v>
      </c>
      <c r="B11" s="3">
        <v>218.85</v>
      </c>
    </row>
    <row r="12" spans="1:5" x14ac:dyDescent="0.3">
      <c r="A12" t="s">
        <v>15</v>
      </c>
      <c r="B12">
        <v>141.9</v>
      </c>
    </row>
    <row r="13" spans="1:5" x14ac:dyDescent="0.3">
      <c r="A13" s="3" t="s">
        <v>16</v>
      </c>
      <c r="B13" s="3">
        <f>Table1[[#Totals],[Costes plaza ordinaria]]</f>
        <v>129.81666666666666</v>
      </c>
    </row>
    <row r="14" spans="1:5" x14ac:dyDescent="0.3">
      <c r="A14" t="s">
        <v>17</v>
      </c>
      <c r="B14">
        <v>140</v>
      </c>
      <c r="E14">
        <v>192</v>
      </c>
    </row>
    <row r="15" spans="1:5" x14ac:dyDescent="0.3">
      <c r="A15" s="3" t="s">
        <v>18</v>
      </c>
      <c r="B15" s="3">
        <v>193</v>
      </c>
    </row>
    <row r="16" spans="1:5" x14ac:dyDescent="0.3">
      <c r="A16" t="s">
        <v>19</v>
      </c>
      <c r="B16">
        <f>Table1[[#Totals],[Costes plaza ordinaria]]</f>
        <v>129.81666666666666</v>
      </c>
    </row>
    <row r="17" spans="1:3" x14ac:dyDescent="0.3">
      <c r="A17" s="3" t="s">
        <v>20</v>
      </c>
      <c r="B17" s="3">
        <v>198</v>
      </c>
    </row>
    <row r="18" spans="1:3" x14ac:dyDescent="0.3">
      <c r="A18" t="s">
        <v>21</v>
      </c>
      <c r="B18">
        <v>120</v>
      </c>
    </row>
    <row r="19" spans="1:3" x14ac:dyDescent="0.3">
      <c r="A19" s="3" t="s">
        <v>22</v>
      </c>
      <c r="B19" s="3">
        <v>80</v>
      </c>
      <c r="C19" t="s">
        <v>23</v>
      </c>
    </row>
    <row r="20" spans="1:3" x14ac:dyDescent="0.3">
      <c r="A20" t="s">
        <v>24</v>
      </c>
      <c r="B20">
        <v>60</v>
      </c>
    </row>
    <row r="21" spans="1:3" x14ac:dyDescent="0.3">
      <c r="A21" s="4" t="s">
        <v>25</v>
      </c>
      <c r="B21" s="4">
        <v>112.7</v>
      </c>
    </row>
    <row r="22" spans="1:3" x14ac:dyDescent="0.3">
      <c r="A22" s="4" t="s">
        <v>26</v>
      </c>
      <c r="B22" s="4">
        <f>(B2+B3+B7+B8+B9+B10+B11+B12+B14+B15+B17+B19+105+171+36.5)/15</f>
        <v>129.81666666666666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Rivas Nóvoa</dc:creator>
  <cp:lastModifiedBy>Gloria Rivas Nóvoa</cp:lastModifiedBy>
  <dcterms:created xsi:type="dcterms:W3CDTF">2025-12-07T09:29:14Z</dcterms:created>
  <dcterms:modified xsi:type="dcterms:W3CDTF">2025-12-07T09:30:42Z</dcterms:modified>
</cp:coreProperties>
</file>