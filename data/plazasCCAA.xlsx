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ori\Desktop\Gloria Rivas\TFG\"/>
    </mc:Choice>
  </mc:AlternateContent>
  <xr:revisionPtr revIDLastSave="0" documentId="13_ncr:1_{6FEAE17C-DB8B-4BDF-A405-A77A78990834}" xr6:coauthVersionLast="47" xr6:coauthVersionMax="47" xr10:uidLastSave="{00000000-0000-0000-0000-000000000000}"/>
  <bookViews>
    <workbookView xWindow="-108" yWindow="-108" windowWidth="23256" windowHeight="12456" xr2:uid="{9E480425-0F20-4AA0-9449-E952933AD0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F6" i="1" s="1"/>
  <c r="E3" i="1"/>
  <c r="F3" i="1" s="1"/>
  <c r="E2" i="1"/>
  <c r="F2" i="1" s="1"/>
  <c r="E4" i="1"/>
  <c r="F4" i="1" s="1"/>
  <c r="E5" i="1"/>
  <c r="F5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</calcChain>
</file>

<file path=xl/sharedStrings.xml><?xml version="1.0" encoding="utf-8"?>
<sst xmlns="http://schemas.openxmlformats.org/spreadsheetml/2006/main" count="34" uniqueCount="29">
  <si>
    <t>Comunidad Autónoma</t>
  </si>
  <si>
    <t>Andalucía</t>
  </si>
  <si>
    <t>Aragón</t>
  </si>
  <si>
    <t>Asturias</t>
  </si>
  <si>
    <t>Baleares</t>
  </si>
  <si>
    <t>Canarias</t>
  </si>
  <si>
    <t>Cantabria</t>
  </si>
  <si>
    <t>Castilla y León</t>
  </si>
  <si>
    <t>Castilla-La Mancha</t>
  </si>
  <si>
    <t>Cataluña</t>
  </si>
  <si>
    <t>Comunidad Valenciana</t>
  </si>
  <si>
    <t>Extremadura</t>
  </si>
  <si>
    <t>Galicia</t>
  </si>
  <si>
    <t>Madrid</t>
  </si>
  <si>
    <t>Murcia</t>
  </si>
  <si>
    <t>Navarra</t>
  </si>
  <si>
    <t>País Vasco</t>
  </si>
  <si>
    <t>La Rioja</t>
  </si>
  <si>
    <t>Ceuta</t>
  </si>
  <si>
    <t>Melilla</t>
  </si>
  <si>
    <t>Centros totales</t>
  </si>
  <si>
    <t>Centros MENA específicos</t>
  </si>
  <si>
    <t>Plazas totales</t>
  </si>
  <si>
    <t>Plazas ocupadas</t>
  </si>
  <si>
    <t>Plazas libres</t>
  </si>
  <si>
    <t>Ocupación %</t>
  </si>
  <si>
    <t>Plazas para MENAS</t>
  </si>
  <si>
    <t>*</t>
  </si>
  <si>
    <t>Capacidad ordinaria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</si>
</sst>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B3886C-97EF-4805-B8FB-1CC5C47EE076}" name="Table1" displayName="Table1" ref="A1:I20" totalsRowShown="0" headerRowDxfId="2">
  <autoFilter ref="A1:I20" xr:uid="{FFB3886C-97EF-4805-B8FB-1CC5C47EE076}"/>
  <tableColumns count="9">
    <tableColumn id="1" xr3:uid="{4C5D1103-AA6B-4F64-A3DB-9E7B44BD3CBA}" name="Comunidad Autónoma"/>
    <tableColumn id="2" xr3:uid="{FB3C0638-B59B-413D-ACCA-BC51E2140946}" name="Centros totales"/>
    <tableColumn id="3" xr3:uid="{FBF77290-D5DF-4E3A-9A9A-DD872D1E4474}" name="Centros MENA específicos"/>
    <tableColumn id="4" xr3:uid="{785E26BE-DEE2-47F0-80A7-2612BEFA3847}" name="Plazas totales"/>
    <tableColumn id="5" xr3:uid="{AADE975C-6940-4EE3-AFBE-113AC176D2D2}" name="Plazas ocupadas" dataDxfId="1">
      <calculatedColumnFormula>ROUND(Table1[[#This Row],[Ocupación %]]/100*Table1[[#This Row],[Plazas totales]],0)</calculatedColumnFormula>
    </tableColumn>
    <tableColumn id="6" xr3:uid="{DAF2F54A-934D-46F0-A1F2-7C7EE9D8F2A4}" name="Plazas libres" dataDxfId="0">
      <calculatedColumnFormula>Table1[[#This Row],[Plazas totales]]-Table1[[#This Row],[Plazas ocupadas]]</calculatedColumnFormula>
    </tableColumn>
    <tableColumn id="7" xr3:uid="{DC11EC0F-0189-4A6E-9725-9DA19C2BC402}" name="Ocupación %"/>
    <tableColumn id="8" xr3:uid="{8D0E6BE1-562F-4489-88F7-9261B7EB7186}" name="Plazas para MENAS"/>
    <tableColumn id="9" xr3:uid="{EA3298B8-4DA8-42CA-865B-2087D46D4765}" name="Capacidad ordinari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8F7F0-7827-447F-94F6-852358D5C4C2}">
  <dimension ref="A1:I20"/>
  <sheetViews>
    <sheetView tabSelected="1" zoomScale="96" workbookViewId="0">
      <selection activeCell="G22" sqref="G22"/>
    </sheetView>
  </sheetViews>
  <sheetFormatPr defaultRowHeight="14.4" x14ac:dyDescent="0.3"/>
  <cols>
    <col min="1" max="1" width="26.5546875" customWidth="1"/>
    <col min="2" max="2" width="17.6640625" customWidth="1"/>
    <col min="3" max="3" width="24.44140625" customWidth="1"/>
    <col min="4" max="4" width="14.44140625" customWidth="1"/>
    <col min="5" max="5" width="16.77734375" customWidth="1"/>
    <col min="6" max="6" width="13.44140625" customWidth="1"/>
    <col min="7" max="7" width="13.77734375" customWidth="1"/>
    <col min="8" max="8" width="17.109375" customWidth="1"/>
    <col min="9" max="9" width="18.77734375" customWidth="1"/>
  </cols>
  <sheetData>
    <row r="1" spans="1:9" x14ac:dyDescent="0.3">
      <c r="A1" s="1" t="s">
        <v>0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28</v>
      </c>
    </row>
    <row r="2" spans="1:9" x14ac:dyDescent="0.3">
      <c r="A2" t="s">
        <v>1</v>
      </c>
      <c r="B2">
        <v>224</v>
      </c>
      <c r="C2">
        <v>33</v>
      </c>
      <c r="D2">
        <v>3000</v>
      </c>
      <c r="E2">
        <f>ROUND(Table1[[#This Row],[Ocupación %]]/100*Table1[[#This Row],[Plazas totales]],0)</f>
        <v>2889</v>
      </c>
      <c r="F2">
        <f>Table1[[#This Row],[Plazas totales]]-Table1[[#This Row],[Plazas ocupadas]]</f>
        <v>111</v>
      </c>
      <c r="G2">
        <v>96.3</v>
      </c>
      <c r="H2">
        <v>668</v>
      </c>
      <c r="I2">
        <v>2827</v>
      </c>
    </row>
    <row r="3" spans="1:9" x14ac:dyDescent="0.3">
      <c r="A3" t="s">
        <v>2</v>
      </c>
      <c r="B3">
        <v>64</v>
      </c>
      <c r="C3">
        <v>41</v>
      </c>
      <c r="D3">
        <v>459</v>
      </c>
      <c r="E3">
        <f>ROUND(Table1[[#This Row],[Ocupación %]]/100*Table1[[#This Row],[Plazas totales]],0)</f>
        <v>230</v>
      </c>
      <c r="F3">
        <f>Table1[[#This Row],[Plazas totales]]-Table1[[#This Row],[Plazas ocupadas]]</f>
        <v>229</v>
      </c>
      <c r="G3">
        <v>50</v>
      </c>
      <c r="H3">
        <v>174</v>
      </c>
      <c r="I3">
        <v>441</v>
      </c>
    </row>
    <row r="4" spans="1:9" x14ac:dyDescent="0.3">
      <c r="A4" t="s">
        <v>3</v>
      </c>
      <c r="B4">
        <v>28</v>
      </c>
      <c r="C4">
        <v>6</v>
      </c>
      <c r="D4">
        <v>410</v>
      </c>
      <c r="E4">
        <f>ROUND(Table1[[#This Row],[Ocupación %]]/100*Table1[[#This Row],[Plazas totales]],0)</f>
        <v>98</v>
      </c>
      <c r="F4">
        <f>Table1[[#This Row],[Plazas totales]]-Table1[[#This Row],[Plazas ocupadas]]</f>
        <v>312</v>
      </c>
      <c r="G4">
        <v>24</v>
      </c>
      <c r="H4">
        <v>91</v>
      </c>
      <c r="I4">
        <v>331</v>
      </c>
    </row>
    <row r="5" spans="1:9" x14ac:dyDescent="0.3">
      <c r="A5" s="3" t="s">
        <v>4</v>
      </c>
      <c r="B5" s="3">
        <v>36</v>
      </c>
      <c r="C5" s="3">
        <v>8</v>
      </c>
      <c r="D5" s="3">
        <v>495</v>
      </c>
      <c r="E5" s="3">
        <f>ROUND(Table1[[#This Row],[Ocupación %]]/100*Table1[[#This Row],[Plazas totales]],0)</f>
        <v>574</v>
      </c>
      <c r="F5" s="3">
        <f>Table1[[#This Row],[Plazas totales]]-Table1[[#This Row],[Plazas ocupadas]]</f>
        <v>-79</v>
      </c>
      <c r="G5" s="3">
        <v>116</v>
      </c>
      <c r="H5" s="3">
        <v>87</v>
      </c>
      <c r="I5" s="3">
        <v>406</v>
      </c>
    </row>
    <row r="6" spans="1:9" x14ac:dyDescent="0.3">
      <c r="A6" s="3" t="s">
        <v>5</v>
      </c>
      <c r="B6" s="3">
        <v>92</v>
      </c>
      <c r="C6" s="3">
        <v>9</v>
      </c>
      <c r="D6" s="3">
        <v>1063</v>
      </c>
      <c r="E6" s="3">
        <f>ROUND(Table1[[#This Row],[Ocupación %]]/100*Table1[[#This Row],[Plazas totales]],0)</f>
        <v>5474</v>
      </c>
      <c r="F6" s="3">
        <f>Table1[[#This Row],[Plazas totales]]-Table1[[#This Row],[Plazas ocupadas]]</f>
        <v>-4411</v>
      </c>
      <c r="G6" s="3">
        <v>515</v>
      </c>
      <c r="H6" s="3">
        <v>131</v>
      </c>
      <c r="I6" s="3">
        <v>737</v>
      </c>
    </row>
    <row r="7" spans="1:9" x14ac:dyDescent="0.3">
      <c r="A7" t="s">
        <v>6</v>
      </c>
      <c r="B7">
        <v>23</v>
      </c>
      <c r="C7">
        <v>3</v>
      </c>
      <c r="D7">
        <v>204</v>
      </c>
      <c r="E7">
        <f>ROUND(Table1[[#This Row],[Ocupación %]]/100*Table1[[#This Row],[Plazas totales]],0)</f>
        <v>67</v>
      </c>
      <c r="F7">
        <f>Table1[[#This Row],[Plazas totales]]-Table1[[#This Row],[Plazas ocupadas]]</f>
        <v>137</v>
      </c>
      <c r="G7">
        <v>33</v>
      </c>
      <c r="H7">
        <v>36</v>
      </c>
      <c r="I7">
        <v>194</v>
      </c>
    </row>
    <row r="8" spans="1:9" x14ac:dyDescent="0.3">
      <c r="A8" t="s">
        <v>7</v>
      </c>
      <c r="B8">
        <v>65</v>
      </c>
      <c r="C8">
        <v>9</v>
      </c>
      <c r="D8">
        <v>770</v>
      </c>
      <c r="E8">
        <f>ROUND(Table1[[#This Row],[Ocupación %]]/100*Table1[[#This Row],[Plazas totales]],0)</f>
        <v>177</v>
      </c>
      <c r="F8">
        <f>Table1[[#This Row],[Plazas totales]]-Table1[[#This Row],[Plazas ocupadas]]</f>
        <v>593</v>
      </c>
      <c r="G8">
        <v>23</v>
      </c>
      <c r="H8">
        <v>87</v>
      </c>
      <c r="I8">
        <v>783</v>
      </c>
    </row>
    <row r="9" spans="1:9" x14ac:dyDescent="0.3">
      <c r="A9" t="s">
        <v>8</v>
      </c>
      <c r="B9">
        <v>57</v>
      </c>
      <c r="C9">
        <v>3</v>
      </c>
      <c r="D9">
        <v>570</v>
      </c>
      <c r="E9">
        <f>ROUND(Table1[[#This Row],[Ocupación %]]/100*Table1[[#This Row],[Plazas totales]],0)</f>
        <v>194</v>
      </c>
      <c r="F9">
        <f>Table1[[#This Row],[Plazas totales]]-Table1[[#This Row],[Plazas ocupadas]]</f>
        <v>376</v>
      </c>
      <c r="G9">
        <v>34</v>
      </c>
      <c r="H9">
        <v>30</v>
      </c>
      <c r="I9">
        <v>692</v>
      </c>
    </row>
    <row r="10" spans="1:9" x14ac:dyDescent="0.3">
      <c r="A10" t="s">
        <v>9</v>
      </c>
      <c r="B10">
        <v>260</v>
      </c>
      <c r="C10">
        <v>58</v>
      </c>
      <c r="D10">
        <v>4651</v>
      </c>
      <c r="E10">
        <f>ROUND(Table1[[#This Row],[Ocupación %]]/100*Table1[[#This Row],[Plazas totales]],0)</f>
        <v>3488</v>
      </c>
      <c r="F10">
        <f>Table1[[#This Row],[Plazas totales]]-Table1[[#This Row],[Plazas ocupadas]]</f>
        <v>1163</v>
      </c>
      <c r="G10">
        <v>75</v>
      </c>
      <c r="H10">
        <v>1177</v>
      </c>
      <c r="I10">
        <v>2650</v>
      </c>
    </row>
    <row r="11" spans="1:9" x14ac:dyDescent="0.3">
      <c r="A11" t="s">
        <v>10</v>
      </c>
      <c r="B11">
        <v>117</v>
      </c>
      <c r="C11">
        <v>18</v>
      </c>
      <c r="D11">
        <v>1618</v>
      </c>
      <c r="E11">
        <f>ROUND(Table1[[#This Row],[Ocupación %]]/100*Table1[[#This Row],[Plazas totales]],0)</f>
        <v>485</v>
      </c>
      <c r="F11">
        <f>Table1[[#This Row],[Plazas totales]]-Table1[[#This Row],[Plazas ocupadas]]</f>
        <v>1133</v>
      </c>
      <c r="G11">
        <v>30</v>
      </c>
      <c r="H11">
        <v>296</v>
      </c>
      <c r="I11">
        <v>1767</v>
      </c>
    </row>
    <row r="12" spans="1:9" x14ac:dyDescent="0.3">
      <c r="A12" t="s">
        <v>11</v>
      </c>
      <c r="B12">
        <v>25</v>
      </c>
      <c r="C12">
        <v>4</v>
      </c>
      <c r="D12">
        <v>376</v>
      </c>
      <c r="E12">
        <f>ROUND(Table1[[#This Row],[Ocupación %]]/100*Table1[[#This Row],[Plazas totales]],0)</f>
        <v>83</v>
      </c>
      <c r="F12">
        <f>Table1[[#This Row],[Plazas totales]]-Table1[[#This Row],[Plazas ocupadas]]</f>
        <v>293</v>
      </c>
      <c r="G12">
        <v>22</v>
      </c>
      <c r="H12">
        <v>24</v>
      </c>
      <c r="I12">
        <v>344</v>
      </c>
    </row>
    <row r="13" spans="1:9" x14ac:dyDescent="0.3">
      <c r="A13" t="s">
        <v>12</v>
      </c>
      <c r="B13">
        <v>61</v>
      </c>
      <c r="C13" t="s">
        <v>27</v>
      </c>
      <c r="D13">
        <v>876</v>
      </c>
      <c r="E13">
        <f>ROUND(Table1[[#This Row],[Ocupación %]]/100*Table1[[#This Row],[Plazas totales]],0)</f>
        <v>263</v>
      </c>
      <c r="F13">
        <f>Table1[[#This Row],[Plazas totales]]-Table1[[#This Row],[Plazas ocupadas]]</f>
        <v>613</v>
      </c>
      <c r="G13">
        <v>30</v>
      </c>
      <c r="H13" t="s">
        <v>27</v>
      </c>
      <c r="I13">
        <v>886</v>
      </c>
    </row>
    <row r="14" spans="1:9" x14ac:dyDescent="0.3">
      <c r="A14" s="3" t="s">
        <v>13</v>
      </c>
      <c r="B14" s="3">
        <v>102</v>
      </c>
      <c r="C14" s="3">
        <v>24</v>
      </c>
      <c r="D14" s="3">
        <v>1894</v>
      </c>
      <c r="E14" s="3">
        <f>ROUND(Table1[[#This Row],[Ocupación %]]/100*Table1[[#This Row],[Plazas totales]],0)</f>
        <v>2500</v>
      </c>
      <c r="F14" s="3">
        <f>Table1[[#This Row],[Plazas totales]]-Table1[[#This Row],[Plazas ocupadas]]</f>
        <v>-606</v>
      </c>
      <c r="G14" s="3">
        <v>132</v>
      </c>
      <c r="H14" s="3">
        <v>354</v>
      </c>
      <c r="I14" s="3">
        <v>2325</v>
      </c>
    </row>
    <row r="15" spans="1:9" x14ac:dyDescent="0.3">
      <c r="A15" t="s">
        <v>14</v>
      </c>
      <c r="B15">
        <v>27</v>
      </c>
      <c r="C15" t="s">
        <v>27</v>
      </c>
      <c r="D15">
        <v>410</v>
      </c>
      <c r="E15">
        <f>ROUND(Table1[[#This Row],[Ocupación %]]/100*Table1[[#This Row],[Plazas totales]],0)</f>
        <v>324</v>
      </c>
      <c r="F15">
        <f>Table1[[#This Row],[Plazas totales]]-Table1[[#This Row],[Plazas ocupadas]]</f>
        <v>86</v>
      </c>
      <c r="G15">
        <v>79</v>
      </c>
      <c r="H15" t="s">
        <v>27</v>
      </c>
      <c r="I15">
        <v>517</v>
      </c>
    </row>
    <row r="16" spans="1:9" x14ac:dyDescent="0.3">
      <c r="A16" t="s">
        <v>15</v>
      </c>
      <c r="B16">
        <v>53</v>
      </c>
      <c r="C16">
        <v>1</v>
      </c>
      <c r="D16">
        <v>387</v>
      </c>
      <c r="E16">
        <f>ROUND(Table1[[#This Row],[Ocupación %]]/100*Table1[[#This Row],[Plazas totales]],0)</f>
        <v>174</v>
      </c>
      <c r="F16">
        <f>Table1[[#This Row],[Plazas totales]]-Table1[[#This Row],[Plazas ocupadas]]</f>
        <v>213</v>
      </c>
      <c r="G16">
        <v>45</v>
      </c>
      <c r="H16">
        <v>40</v>
      </c>
      <c r="I16">
        <v>223</v>
      </c>
    </row>
    <row r="17" spans="1:9" x14ac:dyDescent="0.3">
      <c r="A17" t="s">
        <v>16</v>
      </c>
      <c r="B17">
        <v>122</v>
      </c>
      <c r="C17">
        <v>17</v>
      </c>
      <c r="D17">
        <v>1491</v>
      </c>
      <c r="E17">
        <f>ROUND(Table1[[#This Row],[Ocupación %]]/100*Table1[[#This Row],[Plazas totales]],0)</f>
        <v>656</v>
      </c>
      <c r="F17">
        <f>Table1[[#This Row],[Plazas totales]]-Table1[[#This Row],[Plazas ocupadas]]</f>
        <v>835</v>
      </c>
      <c r="G17">
        <v>44</v>
      </c>
      <c r="H17">
        <v>459</v>
      </c>
      <c r="I17">
        <v>731</v>
      </c>
    </row>
    <row r="18" spans="1:9" x14ac:dyDescent="0.3">
      <c r="A18" t="s">
        <v>17</v>
      </c>
      <c r="B18">
        <v>13</v>
      </c>
      <c r="C18" t="s">
        <v>27</v>
      </c>
      <c r="D18">
        <v>113</v>
      </c>
      <c r="E18">
        <f>ROUND(Table1[[#This Row],[Ocupación %]]/100*Table1[[#This Row],[Plazas totales]],0)</f>
        <v>18</v>
      </c>
      <c r="F18">
        <f>Table1[[#This Row],[Plazas totales]]-Table1[[#This Row],[Plazas ocupadas]]</f>
        <v>95</v>
      </c>
      <c r="G18">
        <v>16</v>
      </c>
      <c r="H18" t="s">
        <v>27</v>
      </c>
      <c r="I18">
        <v>107</v>
      </c>
    </row>
    <row r="19" spans="1:9" x14ac:dyDescent="0.3">
      <c r="A19" s="3" t="s">
        <v>18</v>
      </c>
      <c r="B19" s="3">
        <v>3</v>
      </c>
      <c r="C19" s="3">
        <v>1</v>
      </c>
      <c r="D19" s="3">
        <v>82</v>
      </c>
      <c r="E19" s="3">
        <f>ROUND(Table1[[#This Row],[Ocupación %]]/100*Table1[[#This Row],[Plazas totales]],0)</f>
        <v>526</v>
      </c>
      <c r="F19" s="3">
        <f>Table1[[#This Row],[Plazas totales]]-Table1[[#This Row],[Plazas ocupadas]]</f>
        <v>-444</v>
      </c>
      <c r="G19" s="3">
        <v>641</v>
      </c>
      <c r="H19" s="3">
        <v>55</v>
      </c>
      <c r="I19" s="3">
        <v>27</v>
      </c>
    </row>
    <row r="20" spans="1:9" x14ac:dyDescent="0.3">
      <c r="A20" s="3" t="s">
        <v>19</v>
      </c>
      <c r="B20" s="3">
        <v>3</v>
      </c>
      <c r="C20" s="3">
        <v>1</v>
      </c>
      <c r="D20" s="3">
        <v>188</v>
      </c>
      <c r="E20" s="3">
        <f>ROUND(Table1[[#This Row],[Ocupación %]]/100*Table1[[#This Row],[Plazas totales]],0)</f>
        <v>194</v>
      </c>
      <c r="F20" s="3">
        <f>Table1[[#This Row],[Plazas totales]]-Table1[[#This Row],[Plazas ocupadas]]</f>
        <v>-6</v>
      </c>
      <c r="G20" s="3">
        <v>103</v>
      </c>
      <c r="H20" s="3">
        <v>89</v>
      </c>
      <c r="I20" s="3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Rivas Nóvoa</dc:creator>
  <cp:lastModifiedBy>Gloria Rivas Nóvoa</cp:lastModifiedBy>
  <dcterms:created xsi:type="dcterms:W3CDTF">2025-10-15T07:52:36Z</dcterms:created>
  <dcterms:modified xsi:type="dcterms:W3CDTF">2025-10-30T09:33:35Z</dcterms:modified>
</cp:coreProperties>
</file>