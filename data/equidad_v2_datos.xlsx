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lori\Desktop\Gloria Rivas\TFG\Código entrega\data\"/>
    </mc:Choice>
  </mc:AlternateContent>
  <xr:revisionPtr revIDLastSave="0" documentId="13_ncr:1_{2638A924-A359-4CD8-883E-17A16E73EA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inputs" sheetId="3" r:id="rId1"/>
    <sheet name="pesos" sheetId="4" r:id="rId2"/>
    <sheet name="score_templat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5" l="1"/>
  <c r="T22" i="5" s="1"/>
  <c r="U22" i="5" s="1"/>
  <c r="P22" i="5"/>
  <c r="M22" i="5"/>
  <c r="J22" i="5"/>
  <c r="G22" i="5"/>
  <c r="D22" i="5"/>
  <c r="B22" i="5"/>
  <c r="C22" i="5" s="1"/>
  <c r="S21" i="5"/>
  <c r="T21" i="5" s="1"/>
  <c r="U21" i="5" s="1"/>
  <c r="P21" i="5"/>
  <c r="M21" i="5"/>
  <c r="J21" i="5"/>
  <c r="G21" i="5"/>
  <c r="D21" i="5"/>
  <c r="B21" i="5"/>
  <c r="C21" i="5" s="1"/>
  <c r="S20" i="5"/>
  <c r="T20" i="5" s="1"/>
  <c r="U20" i="5" s="1"/>
  <c r="P20" i="5"/>
  <c r="M20" i="5"/>
  <c r="J20" i="5"/>
  <c r="G20" i="5"/>
  <c r="D20" i="5"/>
  <c r="B20" i="5"/>
  <c r="C20" i="5" s="1"/>
  <c r="S19" i="5"/>
  <c r="T19" i="5" s="1"/>
  <c r="U19" i="5" s="1"/>
  <c r="P19" i="5"/>
  <c r="M19" i="5"/>
  <c r="J19" i="5"/>
  <c r="G19" i="5"/>
  <c r="D19" i="5"/>
  <c r="B19" i="5"/>
  <c r="C19" i="5" s="1"/>
  <c r="V18" i="5"/>
  <c r="W18" i="5" s="1"/>
  <c r="X18" i="5" s="1"/>
  <c r="S18" i="5"/>
  <c r="T18" i="5" s="1"/>
  <c r="U18" i="5" s="1"/>
  <c r="P18" i="5"/>
  <c r="M18" i="5"/>
  <c r="J18" i="5"/>
  <c r="G18" i="5"/>
  <c r="D18" i="5"/>
  <c r="B18" i="5"/>
  <c r="C18" i="5" s="1"/>
  <c r="S17" i="5"/>
  <c r="T17" i="5" s="1"/>
  <c r="U17" i="5" s="1"/>
  <c r="P17" i="5"/>
  <c r="M17" i="5"/>
  <c r="J17" i="5"/>
  <c r="G17" i="5"/>
  <c r="D17" i="5"/>
  <c r="B17" i="5"/>
  <c r="C17" i="5" s="1"/>
  <c r="V16" i="5"/>
  <c r="W16" i="5" s="1"/>
  <c r="X16" i="5" s="1"/>
  <c r="S16" i="5"/>
  <c r="T16" i="5" s="1"/>
  <c r="U16" i="5" s="1"/>
  <c r="P16" i="5"/>
  <c r="M16" i="5"/>
  <c r="J16" i="5"/>
  <c r="G16" i="5"/>
  <c r="D16" i="5"/>
  <c r="B16" i="5"/>
  <c r="C16" i="5" s="1"/>
  <c r="V15" i="5"/>
  <c r="W15" i="5" s="1"/>
  <c r="X15" i="5" s="1"/>
  <c r="S15" i="5"/>
  <c r="T15" i="5" s="1"/>
  <c r="U15" i="5" s="1"/>
  <c r="P15" i="5"/>
  <c r="M15" i="5"/>
  <c r="J15" i="5"/>
  <c r="G15" i="5"/>
  <c r="D15" i="5"/>
  <c r="B15" i="5"/>
  <c r="C15" i="5" s="1"/>
  <c r="V14" i="5"/>
  <c r="W14" i="5" s="1"/>
  <c r="X14" i="5" s="1"/>
  <c r="S14" i="5"/>
  <c r="T14" i="5" s="1"/>
  <c r="U14" i="5" s="1"/>
  <c r="P14" i="5"/>
  <c r="M14" i="5"/>
  <c r="J14" i="5"/>
  <c r="G14" i="5"/>
  <c r="D14" i="5"/>
  <c r="B14" i="5"/>
  <c r="C14" i="5" s="1"/>
  <c r="V13" i="5"/>
  <c r="W13" i="5" s="1"/>
  <c r="X13" i="5" s="1"/>
  <c r="S13" i="5"/>
  <c r="T13" i="5" s="1"/>
  <c r="U13" i="5" s="1"/>
  <c r="P13" i="5"/>
  <c r="M13" i="5"/>
  <c r="J13" i="5"/>
  <c r="G13" i="5"/>
  <c r="D13" i="5"/>
  <c r="B13" i="5"/>
  <c r="C13" i="5" s="1"/>
  <c r="V12" i="5"/>
  <c r="W12" i="5" s="1"/>
  <c r="X12" i="5" s="1"/>
  <c r="S12" i="5"/>
  <c r="T12" i="5" s="1"/>
  <c r="U12" i="5" s="1"/>
  <c r="P12" i="5"/>
  <c r="M12" i="5"/>
  <c r="J12" i="5"/>
  <c r="G12" i="5"/>
  <c r="D12" i="5"/>
  <c r="B12" i="5"/>
  <c r="C12" i="5" s="1"/>
  <c r="V11" i="5"/>
  <c r="W11" i="5" s="1"/>
  <c r="X11" i="5" s="1"/>
  <c r="S11" i="5"/>
  <c r="T11" i="5" s="1"/>
  <c r="U11" i="5" s="1"/>
  <c r="P11" i="5"/>
  <c r="M11" i="5"/>
  <c r="J11" i="5"/>
  <c r="G11" i="5"/>
  <c r="D11" i="5"/>
  <c r="B11" i="5"/>
  <c r="C11" i="5" s="1"/>
  <c r="S10" i="5"/>
  <c r="T10" i="5" s="1"/>
  <c r="U10" i="5" s="1"/>
  <c r="P10" i="5"/>
  <c r="M10" i="5"/>
  <c r="J10" i="5"/>
  <c r="G10" i="5"/>
  <c r="D10" i="5"/>
  <c r="B10" i="5"/>
  <c r="C10" i="5" s="1"/>
  <c r="V9" i="5"/>
  <c r="W9" i="5" s="1"/>
  <c r="X9" i="5" s="1"/>
  <c r="S9" i="5"/>
  <c r="T9" i="5" s="1"/>
  <c r="U9" i="5" s="1"/>
  <c r="P9" i="5"/>
  <c r="M9" i="5"/>
  <c r="N9" i="5" s="1"/>
  <c r="O9" i="5" s="1"/>
  <c r="J9" i="5"/>
  <c r="G9" i="5"/>
  <c r="D9" i="5"/>
  <c r="B9" i="5"/>
  <c r="C9" i="5" s="1"/>
  <c r="S8" i="5"/>
  <c r="T8" i="5" s="1"/>
  <c r="U8" i="5" s="1"/>
  <c r="P8" i="5"/>
  <c r="M8" i="5"/>
  <c r="J8" i="5"/>
  <c r="G8" i="5"/>
  <c r="D8" i="5"/>
  <c r="B8" i="5"/>
  <c r="C8" i="5" s="1"/>
  <c r="S7" i="5"/>
  <c r="T7" i="5" s="1"/>
  <c r="U7" i="5" s="1"/>
  <c r="P7" i="5"/>
  <c r="M7" i="5"/>
  <c r="J7" i="5"/>
  <c r="G7" i="5"/>
  <c r="D7" i="5"/>
  <c r="B7" i="5"/>
  <c r="C7" i="5" s="1"/>
  <c r="S6" i="5"/>
  <c r="T6" i="5" s="1"/>
  <c r="U6" i="5" s="1"/>
  <c r="P6" i="5"/>
  <c r="M6" i="5"/>
  <c r="J6" i="5"/>
  <c r="G6" i="5"/>
  <c r="D6" i="5"/>
  <c r="B6" i="5"/>
  <c r="C6" i="5" s="1"/>
  <c r="S5" i="5"/>
  <c r="T5" i="5" s="1"/>
  <c r="U5" i="5" s="1"/>
  <c r="P5" i="5"/>
  <c r="M5" i="5"/>
  <c r="J5" i="5"/>
  <c r="G5" i="5"/>
  <c r="D5" i="5"/>
  <c r="B5" i="5"/>
  <c r="C5" i="5" s="1"/>
  <c r="S4" i="5"/>
  <c r="T4" i="5" s="1"/>
  <c r="U4" i="5" s="1"/>
  <c r="P4" i="5"/>
  <c r="Q4" i="5" s="1"/>
  <c r="R4" i="5" s="1"/>
  <c r="M4" i="5"/>
  <c r="N4" i="5" s="1"/>
  <c r="O4" i="5" s="1"/>
  <c r="J4" i="5"/>
  <c r="K4" i="5" s="1"/>
  <c r="L4" i="5" s="1"/>
  <c r="G4" i="5"/>
  <c r="H4" i="5" s="1"/>
  <c r="I4" i="5" s="1"/>
  <c r="D4" i="5"/>
  <c r="E4" i="5" s="1"/>
  <c r="F4" i="5" s="1"/>
  <c r="B4" i="5"/>
  <c r="C4" i="5" s="1"/>
  <c r="M23" i="3"/>
  <c r="V22" i="5" s="1"/>
  <c r="W22" i="5" s="1"/>
  <c r="X22" i="5" s="1"/>
  <c r="L23" i="3"/>
  <c r="M22" i="3"/>
  <c r="V21" i="5" s="1"/>
  <c r="W21" i="5" s="1"/>
  <c r="X21" i="5" s="1"/>
  <c r="L22" i="3"/>
  <c r="M21" i="3"/>
  <c r="V20" i="5" s="1"/>
  <c r="W20" i="5" s="1"/>
  <c r="X20" i="5" s="1"/>
  <c r="L21" i="3"/>
  <c r="M20" i="3"/>
  <c r="V19" i="5" s="1"/>
  <c r="W19" i="5" s="1"/>
  <c r="X19" i="5" s="1"/>
  <c r="L20" i="3"/>
  <c r="M19" i="3"/>
  <c r="L19" i="3"/>
  <c r="M18" i="3"/>
  <c r="V17" i="5" s="1"/>
  <c r="W17" i="5" s="1"/>
  <c r="X17" i="5" s="1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V10" i="5" s="1"/>
  <c r="W10" i="5" s="1"/>
  <c r="X10" i="5" s="1"/>
  <c r="L11" i="3"/>
  <c r="M10" i="3"/>
  <c r="L10" i="3"/>
  <c r="M9" i="3"/>
  <c r="V8" i="5" s="1"/>
  <c r="W8" i="5" s="1"/>
  <c r="X8" i="5" s="1"/>
  <c r="L9" i="3"/>
  <c r="M8" i="3"/>
  <c r="V7" i="5" s="1"/>
  <c r="W7" i="5" s="1"/>
  <c r="X7" i="5" s="1"/>
  <c r="L8" i="3"/>
  <c r="M7" i="3"/>
  <c r="V6" i="5" s="1"/>
  <c r="W6" i="5" s="1"/>
  <c r="X6" i="5" s="1"/>
  <c r="L7" i="3"/>
  <c r="M6" i="3"/>
  <c r="V5" i="5" s="1"/>
  <c r="W5" i="5" s="1"/>
  <c r="X5" i="5" s="1"/>
  <c r="L6" i="3"/>
  <c r="M5" i="3"/>
  <c r="V4" i="5" s="1"/>
  <c r="W4" i="5" s="1"/>
  <c r="X4" i="5" s="1"/>
  <c r="L5" i="3"/>
  <c r="Q22" i="5" l="1"/>
  <c r="R22" i="5" s="1"/>
  <c r="N22" i="5"/>
  <c r="O22" i="5" s="1"/>
  <c r="K22" i="5"/>
  <c r="L22" i="5" s="1"/>
  <c r="H22" i="5"/>
  <c r="I22" i="5" s="1"/>
  <c r="E22" i="5"/>
  <c r="F22" i="5" s="1"/>
  <c r="Q21" i="5"/>
  <c r="R21" i="5" s="1"/>
  <c r="N21" i="5"/>
  <c r="O21" i="5" s="1"/>
  <c r="K21" i="5"/>
  <c r="L21" i="5" s="1"/>
  <c r="H21" i="5"/>
  <c r="I21" i="5" s="1"/>
  <c r="E21" i="5"/>
  <c r="F21" i="5" s="1"/>
  <c r="Q20" i="5"/>
  <c r="R20" i="5" s="1"/>
  <c r="N20" i="5"/>
  <c r="O20" i="5" s="1"/>
  <c r="K20" i="5"/>
  <c r="L20" i="5" s="1"/>
  <c r="H20" i="5"/>
  <c r="I20" i="5" s="1"/>
  <c r="E20" i="5"/>
  <c r="F20" i="5" s="1"/>
  <c r="N19" i="5"/>
  <c r="O19" i="5" s="1"/>
  <c r="K19" i="5"/>
  <c r="L19" i="5" s="1"/>
  <c r="H19" i="5"/>
  <c r="I19" i="5" s="1"/>
  <c r="E19" i="5"/>
  <c r="F19" i="5" s="1"/>
  <c r="Q18" i="5"/>
  <c r="R18" i="5" s="1"/>
  <c r="K18" i="5"/>
  <c r="L18" i="5" s="1"/>
  <c r="H18" i="5"/>
  <c r="I18" i="5" s="1"/>
  <c r="E18" i="5"/>
  <c r="F18" i="5" s="1"/>
  <c r="Q17" i="5"/>
  <c r="R17" i="5" s="1"/>
  <c r="N17" i="5"/>
  <c r="O17" i="5" s="1"/>
  <c r="K17" i="5"/>
  <c r="L17" i="5" s="1"/>
  <c r="H17" i="5"/>
  <c r="I17" i="5" s="1"/>
  <c r="E17" i="5"/>
  <c r="F17" i="5" s="1"/>
  <c r="Q16" i="5"/>
  <c r="R16" i="5" s="1"/>
  <c r="K16" i="5"/>
  <c r="L16" i="5" s="1"/>
  <c r="H16" i="5"/>
  <c r="I16" i="5" s="1"/>
  <c r="E16" i="5"/>
  <c r="F16" i="5" s="1"/>
  <c r="Q15" i="5"/>
  <c r="R15" i="5" s="1"/>
  <c r="N15" i="5"/>
  <c r="O15" i="5" s="1"/>
  <c r="K15" i="5"/>
  <c r="L15" i="5" s="1"/>
  <c r="H15" i="5"/>
  <c r="I15" i="5" s="1"/>
  <c r="E15" i="5"/>
  <c r="F15" i="5" s="1"/>
  <c r="Q14" i="5"/>
  <c r="R14" i="5" s="1"/>
  <c r="K14" i="5"/>
  <c r="L14" i="5" s="1"/>
  <c r="H14" i="5"/>
  <c r="I14" i="5" s="1"/>
  <c r="E14" i="5"/>
  <c r="F14" i="5" s="1"/>
  <c r="Q13" i="5"/>
  <c r="R13" i="5" s="1"/>
  <c r="N13" i="5"/>
  <c r="O13" i="5" s="1"/>
  <c r="K13" i="5"/>
  <c r="L13" i="5" s="1"/>
  <c r="H13" i="5"/>
  <c r="I13" i="5" s="1"/>
  <c r="E13" i="5"/>
  <c r="F13" i="5" s="1"/>
  <c r="Q12" i="5"/>
  <c r="R12" i="5" s="1"/>
  <c r="N12" i="5"/>
  <c r="O12" i="5" s="1"/>
  <c r="K12" i="5"/>
  <c r="L12" i="5" s="1"/>
  <c r="H12" i="5"/>
  <c r="I12" i="5" s="1"/>
  <c r="E12" i="5"/>
  <c r="F12" i="5" s="1"/>
  <c r="Q11" i="5"/>
  <c r="R11" i="5" s="1"/>
  <c r="N11" i="5"/>
  <c r="O11" i="5" s="1"/>
  <c r="K11" i="5"/>
  <c r="L11" i="5" s="1"/>
  <c r="H11" i="5"/>
  <c r="I11" i="5" s="1"/>
  <c r="E11" i="5"/>
  <c r="F11" i="5" s="1"/>
  <c r="Q10" i="5"/>
  <c r="R10" i="5" s="1"/>
  <c r="N10" i="5"/>
  <c r="O10" i="5" s="1"/>
  <c r="K10" i="5"/>
  <c r="L10" i="5" s="1"/>
  <c r="H10" i="5"/>
  <c r="I10" i="5" s="1"/>
  <c r="E10" i="5"/>
  <c r="F10" i="5" s="1"/>
  <c r="K9" i="5"/>
  <c r="L9" i="5" s="1"/>
  <c r="H9" i="5"/>
  <c r="I9" i="5" s="1"/>
  <c r="E9" i="5"/>
  <c r="F9" i="5" s="1"/>
  <c r="Q8" i="5"/>
  <c r="R8" i="5" s="1"/>
  <c r="N8" i="5"/>
  <c r="O8" i="5" s="1"/>
  <c r="K8" i="5"/>
  <c r="L8" i="5" s="1"/>
  <c r="H8" i="5"/>
  <c r="I8" i="5" s="1"/>
  <c r="E8" i="5"/>
  <c r="F8" i="5" s="1"/>
  <c r="Q7" i="5"/>
  <c r="R7" i="5" s="1"/>
  <c r="N7" i="5"/>
  <c r="O7" i="5" s="1"/>
  <c r="K7" i="5"/>
  <c r="L7" i="5" s="1"/>
  <c r="H7" i="5"/>
  <c r="I7" i="5" s="1"/>
  <c r="E7" i="5"/>
  <c r="F7" i="5" s="1"/>
  <c r="Q6" i="5"/>
  <c r="R6" i="5" s="1"/>
  <c r="N6" i="5"/>
  <c r="O6" i="5" s="1"/>
  <c r="K6" i="5"/>
  <c r="L6" i="5" s="1"/>
  <c r="H6" i="5"/>
  <c r="I6" i="5" s="1"/>
  <c r="E6" i="5"/>
  <c r="F6" i="5" s="1"/>
  <c r="Q5" i="5"/>
  <c r="R5" i="5" s="1"/>
  <c r="N5" i="5"/>
  <c r="O5" i="5" s="1"/>
  <c r="K5" i="5"/>
  <c r="L5" i="5" s="1"/>
  <c r="H5" i="5"/>
  <c r="I5" i="5" s="1"/>
  <c r="E5" i="5"/>
  <c r="F5" i="5" s="1"/>
  <c r="Y22" i="5"/>
  <c r="Z22" i="5"/>
  <c r="Y21" i="5"/>
  <c r="Z21" i="5"/>
  <c r="Y20" i="5"/>
  <c r="Z20" i="5"/>
  <c r="Y19" i="5"/>
  <c r="Z19" i="5"/>
  <c r="Y18" i="5"/>
  <c r="Z18" i="5"/>
  <c r="Y17" i="5"/>
  <c r="Z17" i="5"/>
  <c r="Y16" i="5"/>
  <c r="Z16" i="5"/>
  <c r="Y15" i="5"/>
  <c r="Z15" i="5"/>
  <c r="Y14" i="5"/>
  <c r="Z14" i="5"/>
  <c r="Y13" i="5"/>
  <c r="Z13" i="5"/>
  <c r="Y12" i="5"/>
  <c r="Z12" i="5"/>
  <c r="Y11" i="5"/>
  <c r="Z11" i="5"/>
  <c r="Y10" i="5"/>
  <c r="Z10" i="5"/>
  <c r="Y9" i="5"/>
  <c r="Z9" i="5"/>
  <c r="Q9" i="5"/>
  <c r="R9" i="5" s="1"/>
  <c r="Q19" i="5"/>
  <c r="R19" i="5" s="1"/>
  <c r="N18" i="5"/>
  <c r="O18" i="5" s="1"/>
  <c r="N14" i="5"/>
  <c r="O14" i="5" s="1"/>
  <c r="N16" i="5"/>
  <c r="O16" i="5" s="1"/>
  <c r="Y8" i="5"/>
  <c r="Z8" i="5"/>
  <c r="Y7" i="5"/>
  <c r="Z7" i="5"/>
  <c r="Y6" i="5"/>
  <c r="Z6" i="5"/>
  <c r="Y5" i="5"/>
  <c r="Z5" i="5"/>
  <c r="Y4" i="5"/>
  <c r="Z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Para la dispersión uso entidades singulares; la definición y el uso inverso aparecen en la respuesta del Gobierno de 24/09/2024.</t>
        </r>
      </text>
    </comment>
    <comment ref="I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Variable exigida por el BOE, pero no he localizado una tabla pública única y descargable con el promedio de los últimos seis meses por comunidad.</t>
        </r>
      </text>
    </comment>
    <comment ref="K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El BOE habla de plazas existentes actualizadas a 19/02/2025 con información comunicada por las CCAA; esa actualización no aparece en un dataset público homogéneo.</t>
        </r>
      </text>
    </comment>
    <comment ref="M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Supuesto operativo: déficit = MAX(plazas_deseables - plazas_existentes, 0). Ajusta la fórmula si finalmente decidís otra traducción del criterio e).</t>
        </r>
      </text>
    </comment>
    <comment ref="N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Ver hoja fuentes para el detalle de cada código.</t>
        </r>
      </text>
    </comment>
    <comment ref="O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Ver hoja fuentes para el detalle de cada código.</t>
        </r>
      </text>
    </comment>
    <comment ref="P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Ver hoja fuentes para el detalle de cada código.</t>
        </r>
      </text>
    </comment>
    <comment ref="Q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Ver hoja fuentes para el detalle de cada código.</t>
        </r>
      </text>
    </comment>
    <comment ref="R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Ver hoja fuentes para el detalle de cada código.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S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Supuesto operativo para el criterio d): promedio simple de dos subíndices inversos. Ajustable si cerráis otra formulación.</t>
        </r>
      </text>
    </comment>
    <comment ref="V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La plantilla toma el déficit de plazas calculado en raw_inputs. Si el Ministerio publica otra fórmula exacta, sustituye esta columna.</t>
        </r>
      </text>
    </comment>
  </commentList>
</comments>
</file>

<file path=xl/sharedStrings.xml><?xml version="1.0" encoding="utf-8"?>
<sst xmlns="http://schemas.openxmlformats.org/spreadsheetml/2006/main" count="219" uniqueCount="103">
  <si>
    <t>Descripción</t>
  </si>
  <si>
    <t>https://www.boe.es/diario_boe/txt.php?id=BOE-A-2025-5404</t>
  </si>
  <si>
    <t>BOE_RD743_2025</t>
  </si>
  <si>
    <t>INE_POB_2025</t>
  </si>
  <si>
    <t>INE_RENTA_2023P</t>
  </si>
  <si>
    <t>INE_EPA_4T2024</t>
  </si>
  <si>
    <t>INE_NOMEN_2025</t>
  </si>
  <si>
    <t>https://www.congreso.es/l15p/e4/e_0041547_n_000.pdf</t>
  </si>
  <si>
    <t>raw_inputs</t>
  </si>
  <si>
    <t>Inputs consolidados para la función de equidad territorial.</t>
  </si>
  <si>
    <t>Las columnas I-K son las únicas que quedan pendientes de completar con datos oficiales no publicados de forma homogénea.</t>
  </si>
  <si>
    <t>CCAA</t>
  </si>
  <si>
    <t>Poblacion</t>
  </si>
  <si>
    <t>Renta_pc_hogares</t>
  </si>
  <si>
    <t>Tasa_paro</t>
  </si>
  <si>
    <t>Entidades_singulares</t>
  </si>
  <si>
    <t>Capacidad_ordinaria_2025</t>
  </si>
  <si>
    <t>Melilla_frontera_-100</t>
  </si>
  <si>
    <t>Baleares_insularidad_-100</t>
  </si>
  <si>
    <t>Promedio_MENA_ultimos_6m</t>
  </si>
  <si>
    <t>Ratio_MENA_por_100k</t>
  </si>
  <si>
    <t>Plazas_existentes_19feb2025</t>
  </si>
  <si>
    <t>Plazas_deseables_1_cada_2500hab</t>
  </si>
  <si>
    <t>Deficit_plazas_vs_deseable</t>
  </si>
  <si>
    <t>Fuente_poblacion</t>
  </si>
  <si>
    <t>Fuente_renta</t>
  </si>
  <si>
    <t>Fuente_paro</t>
  </si>
  <si>
    <t>Fuente_dispersion</t>
  </si>
  <si>
    <t>Fuente_capacidad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</si>
  <si>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</si>
  <si>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</si>
  <si>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</si>
  <si>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</si>
  <si>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</si>
  <si>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</si>
  <si>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</si>
  <si>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</si>
  <si>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</si>
  <si>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</si>
  <si>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</si>
  <si>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</si>
  <si>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</si>
  <si>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</si>
  <si>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</si>
  <si>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</si>
  <si>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</si>
  <si>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</si>
  <si>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</si>
  <si>
    <t>Ponderaciones legales (BOE 2025)</t>
  </si>
  <si>
    <t>Criterio</t>
  </si>
  <si>
    <t>Peso</t>
  </si>
  <si>
    <t>Implementación en plantilla</t>
  </si>
  <si>
    <t>Fuente_URL</t>
  </si>
  <si>
    <t>a</t>
  </si>
  <si>
    <t>Población</t>
  </si>
  <si>
    <t>Peso proporcional directo sobre población</t>
  </si>
  <si>
    <t>b</t>
  </si>
  <si>
    <t>Renta disponible bruta per cápita hogares</t>
  </si>
  <si>
    <t>Peso proporcional directo; operacionalizado con valor/max(valor) y normalización final</t>
  </si>
  <si>
    <t>c</t>
  </si>
  <si>
    <t>Tasa de paro</t>
  </si>
  <si>
    <t>Peso inverso; operacionalizado como min(paro)/paro y normalización final</t>
  </si>
  <si>
    <t>d</t>
  </si>
  <si>
    <t>Esfuerzo en atención a menores no acompañados</t>
  </si>
  <si>
    <t>Pendiente de dato oficial; plantilla usa promedio simple de dos subíndices inversos</t>
  </si>
  <si>
    <t>e</t>
  </si>
  <si>
    <t>Dimensionamiento estructural de plazas</t>
  </si>
  <si>
    <t>Plantilla propone déficit de plazas vs. deseable (1 plaza / 2.500 hab.)</t>
  </si>
  <si>
    <t>f</t>
  </si>
  <si>
    <t>Ciudad fronteriza</t>
  </si>
  <si>
    <t>Penalización -100% a Melilla; resto normalizado en igualdad</t>
  </si>
  <si>
    <t>g</t>
  </si>
  <si>
    <t>Insularidad</t>
  </si>
  <si>
    <t>Penalización -100% a Baleares; resto normalizado en igualdad</t>
  </si>
  <si>
    <t>h</t>
  </si>
  <si>
    <t>Dispersión de la población</t>
  </si>
  <si>
    <t>Proxy: entidades singulares INE; operacionalizado de forma inversa según respuesta del Gobierno de 24/09/2024</t>
  </si>
  <si>
    <t>Plantilla de cálculo</t>
  </si>
  <si>
    <t>Share_poblacion</t>
  </si>
  <si>
    <t>Puntos_poblacion</t>
  </si>
  <si>
    <t>Indice_renta</t>
  </si>
  <si>
    <t>Share_renta</t>
  </si>
  <si>
    <t>Puntos_renta</t>
  </si>
  <si>
    <t>Indice_paro_inv</t>
  </si>
  <si>
    <t>Share_paro</t>
  </si>
  <si>
    <t>Puntos_paro</t>
  </si>
  <si>
    <t>Indice_dispersion_inv</t>
  </si>
  <si>
    <t>Share_dispersion</t>
  </si>
  <si>
    <t>Puntos_dispersion</t>
  </si>
  <si>
    <t>Indice_frontera</t>
  </si>
  <si>
    <t>Share_frontera</t>
  </si>
  <si>
    <t>Puntos_frontera</t>
  </si>
  <si>
    <t>Indice_insularidad</t>
  </si>
  <si>
    <t>Share_insularidad</t>
  </si>
  <si>
    <t>Puntos_insularidad</t>
  </si>
  <si>
    <t>Indice_esfuerzo</t>
  </si>
  <si>
    <t>Share_esfuerzo</t>
  </si>
  <si>
    <t>Puntos_esfuerzo</t>
  </si>
  <si>
    <t>Deficit_plazas</t>
  </si>
  <si>
    <t>Share_plazas</t>
  </si>
  <si>
    <t>Puntos_plazas</t>
  </si>
  <si>
    <t>Puntuacion_total_disponible</t>
  </si>
  <si>
    <t>Peso_disponible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</si>
</sst>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€&quot;"/>
    <numFmt numFmtId="165" formatCode="0.00&quot;%&quot;"/>
    <numFmt numFmtId="166" formatCode="0.0%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0" borderId="0" xfId="0" applyFont="1"/>
    <xf numFmtId="0" fontId="0" fillId="4" borderId="0" xfId="0" applyFill="1"/>
    <xf numFmtId="0" fontId="1" fillId="3" borderId="1" xfId="0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5" borderId="0" xfId="0" applyFill="1"/>
    <xf numFmtId="165" fontId="0" fillId="5" borderId="0" xfId="0" applyNumberFormat="1" applyFill="1"/>
    <xf numFmtId="3" fontId="0" fillId="5" borderId="0" xfId="0" applyNumberFormat="1" applyFill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624840</xdr:colOff>
      <xdr:row>41</xdr:row>
      <xdr:rowOff>83820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DC553F8C-2702-568C-7593-4D1030218F0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213360</xdr:colOff>
      <xdr:row>40</xdr:row>
      <xdr:rowOff>83820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B926C2A1-43EF-ACA6-B280-B4BECA5500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workbookViewId="0"/>
  </sheetViews>
  <sheetFormatPr defaultRowHeight="14.4" x14ac:dyDescent="0.3"/>
  <cols>
    <col min="1" max="1" width="24" customWidth="1"/>
    <col min="2" max="2" width="14" customWidth="1"/>
    <col min="3" max="3" width="16" customWidth="1"/>
    <col min="4" max="4" width="12" customWidth="1"/>
    <col min="5" max="7" width="18" customWidth="1"/>
    <col min="8" max="8" width="22" customWidth="1"/>
    <col min="9" max="10" width="18" customWidth="1"/>
    <col min="11" max="11" width="20" customWidth="1"/>
    <col min="12" max="12" width="22" customWidth="1"/>
    <col min="13" max="13" width="20" customWidth="1"/>
    <col min="14" max="14" width="16" customWidth="1"/>
    <col min="15" max="15" width="18" customWidth="1"/>
    <col min="16" max="18" width="16" customWidth="1"/>
  </cols>
  <sheetData>
    <row r="1" spans="1:18" ht="17.399999999999999" x14ac:dyDescent="0.35">
      <c r="A1" s="2" t="s">
        <v>8</v>
      </c>
    </row>
    <row r="2" spans="1:18" x14ac:dyDescent="0.3">
      <c r="A2" s="1" t="s">
        <v>9</v>
      </c>
    </row>
    <row r="3" spans="1:18" x14ac:dyDescent="0.3">
      <c r="A3" s="3" t="s">
        <v>10</v>
      </c>
    </row>
    <row r="4" spans="1:18" x14ac:dyDescent="0.3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28</v>
      </c>
    </row>
    <row r="5" spans="1:18" x14ac:dyDescent="0.3">
      <c r="A5" t="s">
        <v>29</v>
      </c>
      <c r="B5" s="5">
        <v>8676713</v>
      </c>
      <c r="C5" s="6">
        <v>15367</v>
      </c>
      <c r="D5" s="7">
        <v>15.76</v>
      </c>
      <c r="E5" s="5">
        <v>2823</v>
      </c>
      <c r="F5" s="5">
        <v>2827</v>
      </c>
      <c r="G5">
        <v>0</v>
      </c>
      <c r="H5">
        <v>0</v>
      </c>
      <c r="I5" s="8"/>
      <c r="J5" s="9"/>
      <c r="K5" s="10"/>
      <c r="L5" s="5">
        <f t="shared" ref="L5:L23" si="0">B5/2500</f>
        <v>3470.6851999999999</v>
      </c>
      <c r="M5" s="5" t="str">
        <f t="shared" ref="M5:M23" si="1">IF(K5="","",MAX(L5-K5,0))</f>
        <v/>
      </c>
      <c r="N5" t="s">
        <v>3</v>
      </c>
      <c r="O5" t="s">
        <v>4</v>
      </c>
      <c r="P5" t="s">
        <v>5</v>
      </c>
      <c r="Q5" t="s">
        <v>6</v>
      </c>
      <c r="R5" t="s">
        <v>2</v>
      </c>
    </row>
    <row r="6" spans="1:18" x14ac:dyDescent="0.3">
      <c r="A6" t="s">
        <v>30</v>
      </c>
      <c r="B6" s="5">
        <v>1364621</v>
      </c>
      <c r="C6" s="6">
        <v>20721</v>
      </c>
      <c r="D6" s="7">
        <v>7.62</v>
      </c>
      <c r="E6" s="5">
        <v>1570</v>
      </c>
      <c r="F6" s="5">
        <v>441</v>
      </c>
      <c r="G6">
        <v>0</v>
      </c>
      <c r="H6">
        <v>0</v>
      </c>
      <c r="I6" s="8"/>
      <c r="J6" s="9"/>
      <c r="K6" s="10"/>
      <c r="L6" s="5">
        <f t="shared" si="0"/>
        <v>545.84839999999997</v>
      </c>
      <c r="M6" s="5" t="str">
        <f t="shared" si="1"/>
        <v/>
      </c>
      <c r="N6" t="s">
        <v>3</v>
      </c>
      <c r="O6" t="s">
        <v>4</v>
      </c>
      <c r="P6" t="s">
        <v>5</v>
      </c>
      <c r="Q6" t="s">
        <v>6</v>
      </c>
      <c r="R6" t="s">
        <v>2</v>
      </c>
    </row>
    <row r="7" spans="1:18" x14ac:dyDescent="0.3">
      <c r="A7" t="s">
        <v>31</v>
      </c>
      <c r="B7" s="5">
        <v>1015128</v>
      </c>
      <c r="C7" s="6">
        <v>20250</v>
      </c>
      <c r="D7" s="7">
        <v>8.09</v>
      </c>
      <c r="E7" s="5">
        <v>6983</v>
      </c>
      <c r="F7" s="5">
        <v>331</v>
      </c>
      <c r="G7">
        <v>0</v>
      </c>
      <c r="H7">
        <v>0</v>
      </c>
      <c r="I7" s="8"/>
      <c r="J7" s="9"/>
      <c r="K7" s="10"/>
      <c r="L7" s="5">
        <f t="shared" si="0"/>
        <v>406.05119999999999</v>
      </c>
      <c r="M7" s="5" t="str">
        <f t="shared" si="1"/>
        <v/>
      </c>
      <c r="N7" t="s">
        <v>3</v>
      </c>
      <c r="O7" t="s">
        <v>4</v>
      </c>
      <c r="P7" t="s">
        <v>5</v>
      </c>
      <c r="Q7" t="s">
        <v>6</v>
      </c>
      <c r="R7" t="s">
        <v>2</v>
      </c>
    </row>
    <row r="8" spans="1:18" x14ac:dyDescent="0.3">
      <c r="A8" t="s">
        <v>32</v>
      </c>
      <c r="B8" s="5">
        <v>1249844</v>
      </c>
      <c r="C8" s="6">
        <v>20210</v>
      </c>
      <c r="D8" s="7">
        <v>8.1999999999999993</v>
      </c>
      <c r="E8" s="5">
        <v>312</v>
      </c>
      <c r="F8" s="5">
        <v>406</v>
      </c>
      <c r="G8">
        <v>0</v>
      </c>
      <c r="H8">
        <v>-1</v>
      </c>
      <c r="I8" s="8"/>
      <c r="J8" s="9"/>
      <c r="K8" s="10"/>
      <c r="L8" s="5">
        <f t="shared" si="0"/>
        <v>499.93759999999997</v>
      </c>
      <c r="M8" s="5" t="str">
        <f t="shared" si="1"/>
        <v/>
      </c>
      <c r="N8" t="s">
        <v>3</v>
      </c>
      <c r="O8" t="s">
        <v>4</v>
      </c>
      <c r="P8" t="s">
        <v>5</v>
      </c>
      <c r="Q8" t="s">
        <v>6</v>
      </c>
      <c r="R8" t="s">
        <v>2</v>
      </c>
    </row>
    <row r="9" spans="1:18" x14ac:dyDescent="0.3">
      <c r="A9" t="s">
        <v>33</v>
      </c>
      <c r="B9" s="5">
        <v>2258866</v>
      </c>
      <c r="C9" s="6">
        <v>16027</v>
      </c>
      <c r="D9" s="7">
        <v>11.91</v>
      </c>
      <c r="E9" s="5">
        <v>1109</v>
      </c>
      <c r="F9" s="5">
        <v>737</v>
      </c>
      <c r="G9">
        <v>0</v>
      </c>
      <c r="H9">
        <v>0</v>
      </c>
      <c r="I9" s="8"/>
      <c r="J9" s="9"/>
      <c r="K9" s="10"/>
      <c r="L9" s="5">
        <f t="shared" si="0"/>
        <v>903.54639999999995</v>
      </c>
      <c r="M9" s="5" t="str">
        <f t="shared" si="1"/>
        <v/>
      </c>
      <c r="N9" t="s">
        <v>3</v>
      </c>
      <c r="O9" t="s">
        <v>4</v>
      </c>
      <c r="P9" t="s">
        <v>5</v>
      </c>
      <c r="Q9" t="s">
        <v>6</v>
      </c>
      <c r="R9" t="s">
        <v>2</v>
      </c>
    </row>
    <row r="10" spans="1:18" x14ac:dyDescent="0.3">
      <c r="A10" t="s">
        <v>34</v>
      </c>
      <c r="B10" s="5">
        <v>593623</v>
      </c>
      <c r="C10" s="6">
        <v>19101</v>
      </c>
      <c r="D10" s="7">
        <v>8.23</v>
      </c>
      <c r="E10" s="5">
        <v>931</v>
      </c>
      <c r="F10" s="5">
        <v>194</v>
      </c>
      <c r="G10">
        <v>0</v>
      </c>
      <c r="H10">
        <v>0</v>
      </c>
      <c r="I10" s="8"/>
      <c r="J10" s="9"/>
      <c r="K10" s="10"/>
      <c r="L10" s="5">
        <f t="shared" si="0"/>
        <v>237.44919999999999</v>
      </c>
      <c r="M10" s="5" t="str">
        <f t="shared" si="1"/>
        <v/>
      </c>
      <c r="N10" t="s">
        <v>3</v>
      </c>
      <c r="O10" t="s">
        <v>4</v>
      </c>
      <c r="P10" t="s">
        <v>5</v>
      </c>
      <c r="Q10" t="s">
        <v>6</v>
      </c>
      <c r="R10" t="s">
        <v>2</v>
      </c>
    </row>
    <row r="11" spans="1:18" x14ac:dyDescent="0.3">
      <c r="A11" t="s">
        <v>35</v>
      </c>
      <c r="B11" s="5">
        <v>2401221</v>
      </c>
      <c r="C11" s="6">
        <v>19200</v>
      </c>
      <c r="D11" s="7">
        <v>8.23</v>
      </c>
      <c r="E11" s="5">
        <v>6181</v>
      </c>
      <c r="F11" s="5">
        <v>783</v>
      </c>
      <c r="G11">
        <v>0</v>
      </c>
      <c r="H11">
        <v>0</v>
      </c>
      <c r="I11" s="8"/>
      <c r="J11" s="9"/>
      <c r="K11" s="10"/>
      <c r="L11" s="5">
        <f t="shared" si="0"/>
        <v>960.48839999999996</v>
      </c>
      <c r="M11" s="5" t="str">
        <f t="shared" si="1"/>
        <v/>
      </c>
      <c r="N11" t="s">
        <v>3</v>
      </c>
      <c r="O11" t="s">
        <v>4</v>
      </c>
      <c r="P11" t="s">
        <v>5</v>
      </c>
      <c r="Q11" t="s">
        <v>6</v>
      </c>
      <c r="R11" t="s">
        <v>2</v>
      </c>
    </row>
    <row r="12" spans="1:18" x14ac:dyDescent="0.3">
      <c r="A12" t="s">
        <v>36</v>
      </c>
      <c r="B12" s="5">
        <v>2126378</v>
      </c>
      <c r="C12" s="6">
        <v>16484</v>
      </c>
      <c r="D12" s="7">
        <v>11.86</v>
      </c>
      <c r="E12" s="5">
        <v>1708</v>
      </c>
      <c r="F12" s="5">
        <v>692</v>
      </c>
      <c r="G12">
        <v>0</v>
      </c>
      <c r="H12">
        <v>0</v>
      </c>
      <c r="I12" s="8"/>
      <c r="J12" s="9"/>
      <c r="K12" s="10"/>
      <c r="L12" s="5">
        <f t="shared" si="0"/>
        <v>850.55119999999999</v>
      </c>
      <c r="M12" s="5" t="str">
        <f t="shared" si="1"/>
        <v/>
      </c>
      <c r="N12" t="s">
        <v>3</v>
      </c>
      <c r="O12" t="s">
        <v>4</v>
      </c>
      <c r="P12" t="s">
        <v>5</v>
      </c>
      <c r="Q12" t="s">
        <v>6</v>
      </c>
      <c r="R12" t="s">
        <v>2</v>
      </c>
    </row>
    <row r="13" spans="1:18" x14ac:dyDescent="0.3">
      <c r="A13" t="s">
        <v>37</v>
      </c>
      <c r="B13" s="5">
        <v>8124126</v>
      </c>
      <c r="C13" s="6">
        <v>20790</v>
      </c>
      <c r="D13" s="7">
        <v>7.87</v>
      </c>
      <c r="E13" s="5">
        <v>3910</v>
      </c>
      <c r="F13" s="5">
        <v>2650</v>
      </c>
      <c r="G13">
        <v>0</v>
      </c>
      <c r="H13">
        <v>0</v>
      </c>
      <c r="I13" s="8"/>
      <c r="J13" s="9"/>
      <c r="K13" s="10"/>
      <c r="L13" s="5">
        <f t="shared" si="0"/>
        <v>3249.6504</v>
      </c>
      <c r="M13" s="5" t="str">
        <f t="shared" si="1"/>
        <v/>
      </c>
      <c r="N13" t="s">
        <v>3</v>
      </c>
      <c r="O13" t="s">
        <v>4</v>
      </c>
      <c r="P13" t="s">
        <v>5</v>
      </c>
      <c r="Q13" t="s">
        <v>6</v>
      </c>
      <c r="R13" t="s">
        <v>2</v>
      </c>
    </row>
    <row r="14" spans="1:18" x14ac:dyDescent="0.3">
      <c r="A14" t="s">
        <v>38</v>
      </c>
      <c r="B14" s="5">
        <v>5425182</v>
      </c>
      <c r="C14" s="6">
        <v>16686</v>
      </c>
      <c r="D14" s="7">
        <v>12.33</v>
      </c>
      <c r="E14" s="5">
        <v>1242</v>
      </c>
      <c r="F14" s="5">
        <v>1767</v>
      </c>
      <c r="G14">
        <v>0</v>
      </c>
      <c r="H14">
        <v>0</v>
      </c>
      <c r="I14" s="8"/>
      <c r="J14" s="9"/>
      <c r="K14" s="10"/>
      <c r="L14" s="5">
        <f t="shared" si="0"/>
        <v>2170.0727999999999</v>
      </c>
      <c r="M14" s="5" t="str">
        <f t="shared" si="1"/>
        <v/>
      </c>
      <c r="N14" t="s">
        <v>3</v>
      </c>
      <c r="O14" t="s">
        <v>4</v>
      </c>
      <c r="P14" t="s">
        <v>5</v>
      </c>
      <c r="Q14" t="s">
        <v>6</v>
      </c>
      <c r="R14" t="s">
        <v>2</v>
      </c>
    </row>
    <row r="15" spans="1:18" x14ac:dyDescent="0.3">
      <c r="A15" t="s">
        <v>39</v>
      </c>
      <c r="B15" s="5">
        <v>1053345</v>
      </c>
      <c r="C15" s="6">
        <v>15831</v>
      </c>
      <c r="D15" s="7">
        <v>15.26</v>
      </c>
      <c r="E15" s="5">
        <v>622</v>
      </c>
      <c r="F15" s="5">
        <v>344</v>
      </c>
      <c r="G15">
        <v>0</v>
      </c>
      <c r="H15">
        <v>0</v>
      </c>
      <c r="I15" s="8"/>
      <c r="J15" s="9"/>
      <c r="K15" s="10"/>
      <c r="L15" s="5">
        <f t="shared" si="0"/>
        <v>421.33800000000002</v>
      </c>
      <c r="M15" s="5" t="str">
        <f t="shared" si="1"/>
        <v/>
      </c>
      <c r="N15" t="s">
        <v>3</v>
      </c>
      <c r="O15" t="s">
        <v>4</v>
      </c>
      <c r="P15" t="s">
        <v>5</v>
      </c>
      <c r="Q15" t="s">
        <v>6</v>
      </c>
      <c r="R15" t="s">
        <v>2</v>
      </c>
    </row>
    <row r="16" spans="1:18" x14ac:dyDescent="0.3">
      <c r="A16" t="s">
        <v>40</v>
      </c>
      <c r="B16" s="5">
        <v>2714741</v>
      </c>
      <c r="C16" s="6">
        <v>18552</v>
      </c>
      <c r="D16" s="7">
        <v>8.67</v>
      </c>
      <c r="E16" s="5">
        <v>30518</v>
      </c>
      <c r="F16" s="5">
        <v>886</v>
      </c>
      <c r="G16">
        <v>0</v>
      </c>
      <c r="H16">
        <v>0</v>
      </c>
      <c r="I16" s="8"/>
      <c r="J16" s="9"/>
      <c r="K16" s="10"/>
      <c r="L16" s="5">
        <f t="shared" si="0"/>
        <v>1085.8964000000001</v>
      </c>
      <c r="M16" s="5" t="str">
        <f t="shared" si="1"/>
        <v/>
      </c>
      <c r="N16" t="s">
        <v>3</v>
      </c>
      <c r="O16" t="s">
        <v>4</v>
      </c>
      <c r="P16" t="s">
        <v>5</v>
      </c>
      <c r="Q16" t="s">
        <v>6</v>
      </c>
      <c r="R16" t="s">
        <v>2</v>
      </c>
    </row>
    <row r="17" spans="1:18" x14ac:dyDescent="0.3">
      <c r="A17" t="s">
        <v>41</v>
      </c>
      <c r="B17" s="5">
        <v>7113886</v>
      </c>
      <c r="C17" s="6">
        <v>23493</v>
      </c>
      <c r="D17" s="7">
        <v>8.58</v>
      </c>
      <c r="E17" s="5">
        <v>788</v>
      </c>
      <c r="F17" s="5">
        <v>2325</v>
      </c>
      <c r="G17">
        <v>0</v>
      </c>
      <c r="H17">
        <v>0</v>
      </c>
      <c r="I17" s="8"/>
      <c r="J17" s="9"/>
      <c r="K17" s="10"/>
      <c r="L17" s="5">
        <f t="shared" si="0"/>
        <v>2845.5544</v>
      </c>
      <c r="M17" s="5" t="str">
        <f t="shared" si="1"/>
        <v/>
      </c>
      <c r="N17" t="s">
        <v>3</v>
      </c>
      <c r="O17" t="s">
        <v>4</v>
      </c>
      <c r="P17" t="s">
        <v>5</v>
      </c>
      <c r="Q17" t="s">
        <v>6</v>
      </c>
      <c r="R17" t="s">
        <v>2</v>
      </c>
    </row>
    <row r="18" spans="1:18" x14ac:dyDescent="0.3">
      <c r="A18" t="s">
        <v>42</v>
      </c>
      <c r="B18" s="5">
        <v>1586989</v>
      </c>
      <c r="C18" s="6">
        <v>16521</v>
      </c>
      <c r="D18" s="7">
        <v>13.4</v>
      </c>
      <c r="E18" s="5">
        <v>896</v>
      </c>
      <c r="F18" s="5">
        <v>517</v>
      </c>
      <c r="G18">
        <v>0</v>
      </c>
      <c r="H18">
        <v>0</v>
      </c>
      <c r="I18" s="8"/>
      <c r="J18" s="9"/>
      <c r="K18" s="10"/>
      <c r="L18" s="5">
        <f t="shared" si="0"/>
        <v>634.79560000000004</v>
      </c>
      <c r="M18" s="5" t="str">
        <f t="shared" si="1"/>
        <v/>
      </c>
      <c r="N18" t="s">
        <v>3</v>
      </c>
      <c r="O18" t="s">
        <v>4</v>
      </c>
      <c r="P18" t="s">
        <v>5</v>
      </c>
      <c r="Q18" t="s">
        <v>6</v>
      </c>
      <c r="R18" t="s">
        <v>2</v>
      </c>
    </row>
    <row r="19" spans="1:18" x14ac:dyDescent="0.3">
      <c r="A19" t="s">
        <v>43</v>
      </c>
      <c r="B19" s="5">
        <v>683854</v>
      </c>
      <c r="C19" s="6">
        <v>22220</v>
      </c>
      <c r="D19" s="7">
        <v>6.6</v>
      </c>
      <c r="E19" s="5">
        <v>950</v>
      </c>
      <c r="F19" s="5">
        <v>223</v>
      </c>
      <c r="G19">
        <v>0</v>
      </c>
      <c r="H19">
        <v>0</v>
      </c>
      <c r="I19" s="8"/>
      <c r="J19" s="9"/>
      <c r="K19" s="10"/>
      <c r="L19" s="5">
        <f t="shared" si="0"/>
        <v>273.54160000000002</v>
      </c>
      <c r="M19" s="5" t="str">
        <f t="shared" si="1"/>
        <v/>
      </c>
      <c r="N19" t="s">
        <v>3</v>
      </c>
      <c r="O19" t="s">
        <v>4</v>
      </c>
      <c r="P19" t="s">
        <v>5</v>
      </c>
      <c r="Q19" t="s">
        <v>6</v>
      </c>
      <c r="R19" t="s">
        <v>2</v>
      </c>
    </row>
    <row r="20" spans="1:18" x14ac:dyDescent="0.3">
      <c r="A20" t="s">
        <v>44</v>
      </c>
      <c r="B20" s="5">
        <v>2242343</v>
      </c>
      <c r="C20" s="6">
        <v>25106</v>
      </c>
      <c r="D20" s="7">
        <v>8.17</v>
      </c>
      <c r="E20" s="5">
        <v>1344</v>
      </c>
      <c r="F20" s="5">
        <v>731</v>
      </c>
      <c r="G20">
        <v>0</v>
      </c>
      <c r="H20">
        <v>0</v>
      </c>
      <c r="I20" s="8"/>
      <c r="J20" s="9"/>
      <c r="K20" s="10"/>
      <c r="L20" s="5">
        <f t="shared" si="0"/>
        <v>896.93719999999996</v>
      </c>
      <c r="M20" s="5" t="str">
        <f t="shared" si="1"/>
        <v/>
      </c>
      <c r="N20" t="s">
        <v>3</v>
      </c>
      <c r="O20" t="s">
        <v>4</v>
      </c>
      <c r="P20" t="s">
        <v>5</v>
      </c>
      <c r="Q20" t="s">
        <v>6</v>
      </c>
      <c r="R20" t="s">
        <v>2</v>
      </c>
    </row>
    <row r="21" spans="1:18" x14ac:dyDescent="0.3">
      <c r="A21" t="s">
        <v>45</v>
      </c>
      <c r="B21" s="5">
        <v>326803</v>
      </c>
      <c r="C21" s="6">
        <v>19647</v>
      </c>
      <c r="D21" s="7">
        <v>8.58</v>
      </c>
      <c r="E21" s="5">
        <v>260</v>
      </c>
      <c r="F21" s="5">
        <v>107</v>
      </c>
      <c r="G21">
        <v>0</v>
      </c>
      <c r="H21">
        <v>0</v>
      </c>
      <c r="I21" s="8"/>
      <c r="J21" s="9"/>
      <c r="K21" s="10"/>
      <c r="L21" s="5">
        <f t="shared" si="0"/>
        <v>130.72120000000001</v>
      </c>
      <c r="M21" s="5" t="str">
        <f t="shared" si="1"/>
        <v/>
      </c>
      <c r="N21" t="s">
        <v>3</v>
      </c>
      <c r="O21" t="s">
        <v>4</v>
      </c>
      <c r="P21" t="s">
        <v>5</v>
      </c>
      <c r="Q21" t="s">
        <v>6</v>
      </c>
      <c r="R21" t="s">
        <v>2</v>
      </c>
    </row>
    <row r="22" spans="1:18" x14ac:dyDescent="0.3">
      <c r="A22" t="s">
        <v>46</v>
      </c>
      <c r="B22" s="5">
        <v>83567</v>
      </c>
      <c r="C22" s="6">
        <v>16437</v>
      </c>
      <c r="D22" s="7">
        <v>21.79</v>
      </c>
      <c r="E22" s="5">
        <v>3</v>
      </c>
      <c r="F22" s="5">
        <v>27</v>
      </c>
      <c r="G22">
        <v>0</v>
      </c>
      <c r="H22">
        <v>0</v>
      </c>
      <c r="I22" s="8"/>
      <c r="J22" s="9"/>
      <c r="K22" s="10"/>
      <c r="L22" s="5">
        <f t="shared" si="0"/>
        <v>33.4268</v>
      </c>
      <c r="M22" s="5" t="str">
        <f t="shared" si="1"/>
        <v/>
      </c>
      <c r="N22" t="s">
        <v>3</v>
      </c>
      <c r="O22" t="s">
        <v>4</v>
      </c>
      <c r="P22" t="s">
        <v>5</v>
      </c>
      <c r="Q22" t="s">
        <v>6</v>
      </c>
      <c r="R22" t="s">
        <v>2</v>
      </c>
    </row>
    <row r="23" spans="1:18" x14ac:dyDescent="0.3">
      <c r="A23" t="s">
        <v>47</v>
      </c>
      <c r="B23" s="5">
        <v>87067</v>
      </c>
      <c r="C23" s="6">
        <v>15241</v>
      </c>
      <c r="D23" s="7">
        <v>25.8</v>
      </c>
      <c r="E23" s="5">
        <v>1</v>
      </c>
      <c r="F23" s="5">
        <v>28</v>
      </c>
      <c r="G23">
        <v>-1</v>
      </c>
      <c r="H23">
        <v>0</v>
      </c>
      <c r="I23" s="8"/>
      <c r="J23" s="9"/>
      <c r="K23" s="10"/>
      <c r="L23" s="5">
        <f t="shared" si="0"/>
        <v>34.826799999999999</v>
      </c>
      <c r="M23" s="5" t="str">
        <f t="shared" si="1"/>
        <v/>
      </c>
      <c r="N23" t="s">
        <v>3</v>
      </c>
      <c r="O23" t="s">
        <v>4</v>
      </c>
      <c r="P23" t="s">
        <v>5</v>
      </c>
      <c r="Q23" t="s">
        <v>6</v>
      </c>
      <c r="R23" t="s">
        <v>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 x14ac:dyDescent="0.3"/>
  <cols>
    <col min="1" max="1" width="10" customWidth="1"/>
    <col min="2" max="2" width="45" customWidth="1"/>
    <col min="3" max="3" width="10" customWidth="1"/>
    <col min="4" max="5" width="60" customWidth="1"/>
  </cols>
  <sheetData>
    <row r="1" spans="1:5" ht="17.399999999999999" x14ac:dyDescent="0.35">
      <c r="A1" s="2" t="s">
        <v>48</v>
      </c>
    </row>
    <row r="3" spans="1:5" x14ac:dyDescent="0.3">
      <c r="A3" s="4" t="s">
        <v>49</v>
      </c>
      <c r="B3" s="4" t="s">
        <v>0</v>
      </c>
      <c r="C3" s="4" t="s">
        <v>50</v>
      </c>
      <c r="D3" s="4" t="s">
        <v>51</v>
      </c>
      <c r="E3" s="4" t="s">
        <v>52</v>
      </c>
    </row>
    <row r="4" spans="1:5" x14ac:dyDescent="0.3">
      <c r="A4" t="s">
        <v>53</v>
      </c>
      <c r="B4" t="s">
        <v>54</v>
      </c>
      <c r="C4" s="11">
        <v>0.5</v>
      </c>
      <c r="D4" t="s">
        <v>55</v>
      </c>
      <c r="E4" t="s">
        <v>1</v>
      </c>
    </row>
    <row r="5" spans="1:5" x14ac:dyDescent="0.3">
      <c r="A5" t="s">
        <v>56</v>
      </c>
      <c r="B5" t="s">
        <v>57</v>
      </c>
      <c r="C5" s="11">
        <v>0.13</v>
      </c>
      <c r="D5" t="s">
        <v>58</v>
      </c>
      <c r="E5" t="s">
        <v>1</v>
      </c>
    </row>
    <row r="6" spans="1:5" x14ac:dyDescent="0.3">
      <c r="A6" t="s">
        <v>59</v>
      </c>
      <c r="B6" t="s">
        <v>60</v>
      </c>
      <c r="C6" s="11">
        <v>0.15</v>
      </c>
      <c r="D6" t="s">
        <v>61</v>
      </c>
      <c r="E6" t="s">
        <v>1</v>
      </c>
    </row>
    <row r="7" spans="1:5" x14ac:dyDescent="0.3">
      <c r="A7" t="s">
        <v>62</v>
      </c>
      <c r="B7" t="s">
        <v>63</v>
      </c>
      <c r="C7" s="11">
        <v>0.06</v>
      </c>
      <c r="D7" t="s">
        <v>64</v>
      </c>
      <c r="E7" t="s">
        <v>1</v>
      </c>
    </row>
    <row r="8" spans="1:5" x14ac:dyDescent="0.3">
      <c r="A8" t="s">
        <v>65</v>
      </c>
      <c r="B8" t="s">
        <v>66</v>
      </c>
      <c r="C8" s="11">
        <v>0.1</v>
      </c>
      <c r="D8" t="s">
        <v>67</v>
      </c>
      <c r="E8" t="s">
        <v>1</v>
      </c>
    </row>
    <row r="9" spans="1:5" x14ac:dyDescent="0.3">
      <c r="A9" t="s">
        <v>68</v>
      </c>
      <c r="B9" t="s">
        <v>69</v>
      </c>
      <c r="C9" s="11">
        <v>0.02</v>
      </c>
      <c r="D9" t="s">
        <v>70</v>
      </c>
      <c r="E9" t="s">
        <v>1</v>
      </c>
    </row>
    <row r="10" spans="1:5" x14ac:dyDescent="0.3">
      <c r="A10" t="s">
        <v>71</v>
      </c>
      <c r="B10" t="s">
        <v>72</v>
      </c>
      <c r="C10" s="11">
        <v>0.02</v>
      </c>
      <c r="D10" t="s">
        <v>73</v>
      </c>
      <c r="E10" t="s">
        <v>1</v>
      </c>
    </row>
    <row r="11" spans="1:5" x14ac:dyDescent="0.3">
      <c r="A11" t="s">
        <v>74</v>
      </c>
      <c r="B11" t="s">
        <v>75</v>
      </c>
      <c r="C11" s="11">
        <v>0.02</v>
      </c>
      <c r="D11" t="s">
        <v>76</v>
      </c>
      <c r="E1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2"/>
  <sheetViews>
    <sheetView tabSelected="1" workbookViewId="0">
      <selection activeCell="A2" sqref="A2:XFD2"/>
    </sheetView>
  </sheetViews>
  <sheetFormatPr defaultRowHeight="14.4" x14ac:dyDescent="0.3"/>
  <cols>
    <col min="1" max="1" width="24" customWidth="1"/>
    <col min="2" max="9" width="14" customWidth="1"/>
    <col min="10" max="10" width="18" customWidth="1"/>
    <col min="11" max="12" width="16" customWidth="1"/>
    <col min="13" max="15" width="14" customWidth="1"/>
    <col min="16" max="18" width="16" customWidth="1"/>
    <col min="19" max="24" width="14" customWidth="1"/>
    <col min="25" max="25" width="20" customWidth="1"/>
    <col min="26" max="26" width="14" customWidth="1"/>
  </cols>
  <sheetData>
    <row r="1" spans="1:26" ht="17.399999999999999" x14ac:dyDescent="0.35">
      <c r="A1" s="2" t="s">
        <v>77</v>
      </c>
    </row>
    <row r="3" spans="1:26" x14ac:dyDescent="0.3">
      <c r="A3" s="4" t="s">
        <v>11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82</v>
      </c>
      <c r="G3" s="4" t="s">
        <v>83</v>
      </c>
      <c r="H3" s="4" t="s">
        <v>84</v>
      </c>
      <c r="I3" s="4" t="s">
        <v>85</v>
      </c>
      <c r="J3" s="4" t="s">
        <v>86</v>
      </c>
      <c r="K3" s="4" t="s">
        <v>87</v>
      </c>
      <c r="L3" s="4" t="s">
        <v>88</v>
      </c>
      <c r="M3" s="4" t="s">
        <v>89</v>
      </c>
      <c r="N3" s="4" t="s">
        <v>90</v>
      </c>
      <c r="O3" s="4" t="s">
        <v>91</v>
      </c>
      <c r="P3" s="4" t="s">
        <v>92</v>
      </c>
      <c r="Q3" s="4" t="s">
        <v>93</v>
      </c>
      <c r="R3" s="4" t="s">
        <v>94</v>
      </c>
      <c r="S3" s="4" t="s">
        <v>95</v>
      </c>
      <c r="T3" s="4" t="s">
        <v>96</v>
      </c>
      <c r="U3" s="4" t="s">
        <v>97</v>
      </c>
      <c r="V3" s="4" t="s">
        <v>98</v>
      </c>
      <c r="W3" s="4" t="s">
        <v>99</v>
      </c>
      <c r="X3" s="4" t="s">
        <v>100</v>
      </c>
      <c r="Y3" s="4" t="s">
        <v>101</v>
      </c>
      <c r="Z3" s="4" t="s">
        <v>102</v>
      </c>
    </row>
    <row r="4" spans="1:26" x14ac:dyDescent="0.3">
      <c r="A4" t="s">
        <v>29</v>
      </c>
      <c r="B4" s="12">
        <f>raw_inputs!B5/SUM(raw_inputs!$B$5:$B$23)</f>
        <v>0.17661334770061335</v>
      </c>
      <c r="C4" s="12">
        <f t="shared" ref="C4:C22" si="0">B4*0.5</f>
        <v>8.8306673850306674E-2</v>
      </c>
      <c r="D4" s="12">
        <f>raw_inputs!C5/MAX(raw_inputs!$C$5:$C$23)</f>
        <v>0.6120847606149924</v>
      </c>
      <c r="E4" s="12">
        <f t="shared" ref="E4:E22" si="1">D4/SUM($D$4:$D$22)</f>
        <v>4.2938494037174056E-2</v>
      </c>
      <c r="F4" s="12">
        <f t="shared" ref="F4:F22" si="2">E4*0.13</f>
        <v>5.5820042248326271E-3</v>
      </c>
      <c r="G4" s="12">
        <f>MIN(raw_inputs!$D$5:$D$23)/raw_inputs!D5</f>
        <v>0.41878172588832485</v>
      </c>
      <c r="H4" s="12">
        <f t="shared" ref="H4:H22" si="3">G4/SUM($G$4:$G$22)</f>
        <v>3.3275322615021363E-2</v>
      </c>
      <c r="I4" s="12">
        <f t="shared" ref="I4:I22" si="4">H4*0.15</f>
        <v>4.9912983922532047E-3</v>
      </c>
      <c r="J4" s="12">
        <f>MIN(raw_inputs!$E$5:$E$23)/raw_inputs!E5</f>
        <v>3.5423308537017357E-4</v>
      </c>
      <c r="K4" s="12">
        <f t="shared" ref="K4:K22" si="5">J4/SUM($J$4:$J$22)</f>
        <v>2.621763457949841E-4</v>
      </c>
      <c r="L4" s="12">
        <f t="shared" ref="L4:L22" si="6">K4*0.02</f>
        <v>5.2435269158996822E-6</v>
      </c>
      <c r="M4" s="12">
        <f>IF(raw_inputs!G5=-1,0,1)</f>
        <v>1</v>
      </c>
      <c r="N4" s="12">
        <f t="shared" ref="N4:N22" si="7">M4/SUM($M$4:$M$22)</f>
        <v>5.5555555555555552E-2</v>
      </c>
      <c r="O4" s="12">
        <f t="shared" ref="O4:O22" si="8">N4*0.02</f>
        <v>1.1111111111111111E-3</v>
      </c>
      <c r="P4" s="12">
        <f>IF(raw_inputs!H5=-1,0,1)</f>
        <v>1</v>
      </c>
      <c r="Q4" s="12">
        <f t="shared" ref="Q4:Q22" si="9">P4/SUM($P$4:$P$22)</f>
        <v>5.5555555555555552E-2</v>
      </c>
      <c r="R4" s="12">
        <f t="shared" ref="R4:R22" si="10">Q4*0.02</f>
        <v>1.1111111111111111E-3</v>
      </c>
      <c r="S4" s="12" t="str">
        <f>IF(OR(raw_inputs!I5="",raw_inputs!J5=""),"",AVERAGE(MIN(raw_inputs!$I$5:$I$23)/raw_inputs!I5,MIN(raw_inputs!$J$5:$J$23)/raw_inputs!J5))</f>
        <v/>
      </c>
      <c r="T4" s="12" t="str">
        <f t="shared" ref="T4:T22" si="11">IF(S4="","",S4/SUM($S$4:$S$22))</f>
        <v/>
      </c>
      <c r="U4" s="12" t="str">
        <f t="shared" ref="U4:U22" si="12">IF(T4="","",T4*0.06)</f>
        <v/>
      </c>
      <c r="V4" s="12" t="str">
        <f>raw_inputs!M5</f>
        <v/>
      </c>
      <c r="W4" s="12" t="str">
        <f t="shared" ref="W4:W22" si="13">IF(V4="","",V4/SUM($V$4:$V$22))</f>
        <v/>
      </c>
      <c r="X4" s="12" t="str">
        <f t="shared" ref="X4:X22" si="14">IF(W4="","",W4*0.1)</f>
        <v/>
      </c>
      <c r="Y4" s="12" t="e">
        <f t="shared" ref="Y4:Y22" si="15">SUM(C4,F4,I4,L4,O4,R4,IFERROR(U4,0),IFERROR(X4,0))</f>
        <v>#VALUE!</v>
      </c>
      <c r="Z4" s="11">
        <f t="shared" ref="Z4:Z22" si="16">0.82+IF(U4="",0,0.06)+IF(X4="",0,0.1)</f>
        <v>0.82</v>
      </c>
    </row>
    <row r="5" spans="1:26" x14ac:dyDescent="0.3">
      <c r="A5" t="s">
        <v>30</v>
      </c>
      <c r="B5" s="12">
        <f>raw_inputs!B6/SUM(raw_inputs!$B$5:$B$23)</f>
        <v>2.7776680311145326E-2</v>
      </c>
      <c r="C5" s="12">
        <f t="shared" si="0"/>
        <v>1.3888340155572663E-2</v>
      </c>
      <c r="D5" s="12">
        <f>raw_inputs!C6/MAX(raw_inputs!$C$5:$C$23)</f>
        <v>0.82534055604238032</v>
      </c>
      <c r="E5" s="12">
        <f t="shared" si="1"/>
        <v>5.7898648724167612E-2</v>
      </c>
      <c r="F5" s="12">
        <f t="shared" si="2"/>
        <v>7.5268243341417894E-3</v>
      </c>
      <c r="G5" s="12">
        <f>MIN(raw_inputs!$D$5:$D$23)/raw_inputs!D6</f>
        <v>0.86614173228346447</v>
      </c>
      <c r="H5" s="12">
        <f t="shared" si="3"/>
        <v>6.882140215390245E-2</v>
      </c>
      <c r="I5" s="12">
        <f t="shared" si="4"/>
        <v>1.0323210323085367E-2</v>
      </c>
      <c r="J5" s="12">
        <f>MIN(raw_inputs!$E$5:$E$23)/raw_inputs!E6</f>
        <v>6.3694267515923564E-4</v>
      </c>
      <c r="K5" s="12">
        <f t="shared" si="5"/>
        <v>4.71416448521809E-4</v>
      </c>
      <c r="L5" s="12">
        <f t="shared" si="6"/>
        <v>9.4283289704361803E-6</v>
      </c>
      <c r="M5" s="12">
        <f>IF(raw_inputs!G6=-1,0,1)</f>
        <v>1</v>
      </c>
      <c r="N5" s="12">
        <f t="shared" si="7"/>
        <v>5.5555555555555552E-2</v>
      </c>
      <c r="O5" s="12">
        <f t="shared" si="8"/>
        <v>1.1111111111111111E-3</v>
      </c>
      <c r="P5" s="12">
        <f>IF(raw_inputs!H6=-1,0,1)</f>
        <v>1</v>
      </c>
      <c r="Q5" s="12">
        <f t="shared" si="9"/>
        <v>5.5555555555555552E-2</v>
      </c>
      <c r="R5" s="12">
        <f t="shared" si="10"/>
        <v>1.1111111111111111E-3</v>
      </c>
      <c r="S5" s="12" t="str">
        <f>IF(OR(raw_inputs!I6="",raw_inputs!J6=""),"",AVERAGE(MIN(raw_inputs!$I$5:$I$23)/raw_inputs!I6,MIN(raw_inputs!$J$5:$J$23)/raw_inputs!J6))</f>
        <v/>
      </c>
      <c r="T5" s="12" t="str">
        <f t="shared" si="11"/>
        <v/>
      </c>
      <c r="U5" s="12" t="str">
        <f t="shared" si="12"/>
        <v/>
      </c>
      <c r="V5" s="12" t="str">
        <f>raw_inputs!M6</f>
        <v/>
      </c>
      <c r="W5" s="12" t="str">
        <f t="shared" si="13"/>
        <v/>
      </c>
      <c r="X5" s="12" t="str">
        <f t="shared" si="14"/>
        <v/>
      </c>
      <c r="Y5" s="12" t="e">
        <f t="shared" si="15"/>
        <v>#VALUE!</v>
      </c>
      <c r="Z5" s="11">
        <f t="shared" si="16"/>
        <v>0.82</v>
      </c>
    </row>
    <row r="6" spans="1:26" x14ac:dyDescent="0.3">
      <c r="A6" t="s">
        <v>31</v>
      </c>
      <c r="B6" s="12">
        <f>raw_inputs!B7/SUM(raw_inputs!$B$5:$B$23)</f>
        <v>2.0662796432776818E-2</v>
      </c>
      <c r="C6" s="12">
        <f t="shared" si="0"/>
        <v>1.0331398216388409E-2</v>
      </c>
      <c r="D6" s="12">
        <f>raw_inputs!C7/MAX(raw_inputs!$C$5:$C$23)</f>
        <v>0.80658010037441252</v>
      </c>
      <c r="E6" s="12">
        <f t="shared" si="1"/>
        <v>5.6582579830336092E-2</v>
      </c>
      <c r="F6" s="12">
        <f t="shared" si="2"/>
        <v>7.3557353779436924E-3</v>
      </c>
      <c r="G6" s="12">
        <f>MIN(raw_inputs!$D$5:$D$23)/raw_inputs!D7</f>
        <v>0.81582200247218783</v>
      </c>
      <c r="H6" s="12">
        <f t="shared" si="3"/>
        <v>6.4823125390943967E-2</v>
      </c>
      <c r="I6" s="12">
        <f t="shared" si="4"/>
        <v>9.7234688086415954E-3</v>
      </c>
      <c r="J6" s="12">
        <f>MIN(raw_inputs!$E$5:$E$23)/raw_inputs!E7</f>
        <v>1.4320492624946297E-4</v>
      </c>
      <c r="K6" s="12">
        <f t="shared" si="5"/>
        <v>1.0598937765705858E-4</v>
      </c>
      <c r="L6" s="12">
        <f t="shared" si="6"/>
        <v>2.1197875531411717E-6</v>
      </c>
      <c r="M6" s="12">
        <f>IF(raw_inputs!G7=-1,0,1)</f>
        <v>1</v>
      </c>
      <c r="N6" s="12">
        <f t="shared" si="7"/>
        <v>5.5555555555555552E-2</v>
      </c>
      <c r="O6" s="12">
        <f t="shared" si="8"/>
        <v>1.1111111111111111E-3</v>
      </c>
      <c r="P6" s="12">
        <f>IF(raw_inputs!H7=-1,0,1)</f>
        <v>1</v>
      </c>
      <c r="Q6" s="12">
        <f t="shared" si="9"/>
        <v>5.5555555555555552E-2</v>
      </c>
      <c r="R6" s="12">
        <f t="shared" si="10"/>
        <v>1.1111111111111111E-3</v>
      </c>
      <c r="S6" s="12" t="str">
        <f>IF(OR(raw_inputs!I7="",raw_inputs!J7=""),"",AVERAGE(MIN(raw_inputs!$I$5:$I$23)/raw_inputs!I7,MIN(raw_inputs!$J$5:$J$23)/raw_inputs!J7))</f>
        <v/>
      </c>
      <c r="T6" s="12" t="str">
        <f t="shared" si="11"/>
        <v/>
      </c>
      <c r="U6" s="12" t="str">
        <f t="shared" si="12"/>
        <v/>
      </c>
      <c r="V6" s="12" t="str">
        <f>raw_inputs!M7</f>
        <v/>
      </c>
      <c r="W6" s="12" t="str">
        <f t="shared" si="13"/>
        <v/>
      </c>
      <c r="X6" s="12" t="str">
        <f t="shared" si="14"/>
        <v/>
      </c>
      <c r="Y6" s="12" t="e">
        <f t="shared" si="15"/>
        <v>#VALUE!</v>
      </c>
      <c r="Z6" s="11">
        <f t="shared" si="16"/>
        <v>0.82</v>
      </c>
    </row>
    <row r="7" spans="1:26" x14ac:dyDescent="0.3">
      <c r="A7" t="s">
        <v>32</v>
      </c>
      <c r="B7" s="12">
        <f>raw_inputs!B8/SUM(raw_inputs!$B$5:$B$23)</f>
        <v>2.5440409627876984E-2</v>
      </c>
      <c r="C7" s="12">
        <f t="shared" si="0"/>
        <v>1.2720204813938492E-2</v>
      </c>
      <c r="D7" s="12">
        <f>raw_inputs!C8/MAX(raw_inputs!$C$5:$C$23)</f>
        <v>0.80498685573169759</v>
      </c>
      <c r="E7" s="12">
        <f t="shared" si="1"/>
        <v>5.6470811771411965E-2</v>
      </c>
      <c r="F7" s="12">
        <f t="shared" si="2"/>
        <v>7.3412055302835557E-3</v>
      </c>
      <c r="G7" s="12">
        <f>MIN(raw_inputs!$D$5:$D$23)/raw_inputs!D8</f>
        <v>0.80487804878048785</v>
      </c>
      <c r="H7" s="12">
        <f t="shared" si="3"/>
        <v>6.3953546879602044E-2</v>
      </c>
      <c r="I7" s="12">
        <f t="shared" si="4"/>
        <v>9.5930320319403059E-3</v>
      </c>
      <c r="J7" s="12">
        <f>MIN(raw_inputs!$E$5:$E$23)/raw_inputs!E8</f>
        <v>3.205128205128205E-3</v>
      </c>
      <c r="K7" s="12">
        <f t="shared" si="5"/>
        <v>2.3721917441642312E-3</v>
      </c>
      <c r="L7" s="12">
        <f t="shared" si="6"/>
        <v>4.7443834883284623E-5</v>
      </c>
      <c r="M7" s="12">
        <f>IF(raw_inputs!G8=-1,0,1)</f>
        <v>1</v>
      </c>
      <c r="N7" s="12">
        <f t="shared" si="7"/>
        <v>5.5555555555555552E-2</v>
      </c>
      <c r="O7" s="12">
        <f t="shared" si="8"/>
        <v>1.1111111111111111E-3</v>
      </c>
      <c r="P7" s="12">
        <f>IF(raw_inputs!H8=-1,0,1)</f>
        <v>0</v>
      </c>
      <c r="Q7" s="12">
        <f t="shared" si="9"/>
        <v>0</v>
      </c>
      <c r="R7" s="12">
        <f t="shared" si="10"/>
        <v>0</v>
      </c>
      <c r="S7" s="12" t="str">
        <f>IF(OR(raw_inputs!I8="",raw_inputs!J8=""),"",AVERAGE(MIN(raw_inputs!$I$5:$I$23)/raw_inputs!I8,MIN(raw_inputs!$J$5:$J$23)/raw_inputs!J8))</f>
        <v/>
      </c>
      <c r="T7" s="12" t="str">
        <f t="shared" si="11"/>
        <v/>
      </c>
      <c r="U7" s="12" t="str">
        <f t="shared" si="12"/>
        <v/>
      </c>
      <c r="V7" s="12" t="str">
        <f>raw_inputs!M8</f>
        <v/>
      </c>
      <c r="W7" s="12" t="str">
        <f t="shared" si="13"/>
        <v/>
      </c>
      <c r="X7" s="12" t="str">
        <f t="shared" si="14"/>
        <v/>
      </c>
      <c r="Y7" s="12" t="e">
        <f t="shared" si="15"/>
        <v>#VALUE!</v>
      </c>
      <c r="Z7" s="11">
        <f t="shared" si="16"/>
        <v>0.82</v>
      </c>
    </row>
    <row r="8" spans="1:26" x14ac:dyDescent="0.3">
      <c r="A8" t="s">
        <v>33</v>
      </c>
      <c r="B8" s="12">
        <f>raw_inputs!B9/SUM(raw_inputs!$B$5:$B$23)</f>
        <v>4.5978919236707917E-2</v>
      </c>
      <c r="C8" s="12">
        <f t="shared" si="0"/>
        <v>2.2989459618353959E-2</v>
      </c>
      <c r="D8" s="12">
        <f>raw_inputs!C9/MAX(raw_inputs!$C$5:$C$23)</f>
        <v>0.63837329721978808</v>
      </c>
      <c r="E8" s="12">
        <f t="shared" si="1"/>
        <v>4.4782667009422045E-2</v>
      </c>
      <c r="F8" s="12">
        <f t="shared" si="2"/>
        <v>5.8217467112248664E-3</v>
      </c>
      <c r="G8" s="12">
        <f>MIN(raw_inputs!$D$5:$D$23)/raw_inputs!D9</f>
        <v>0.55415617128463468</v>
      </c>
      <c r="H8" s="12">
        <f t="shared" si="3"/>
        <v>4.4031829085872096E-2</v>
      </c>
      <c r="I8" s="12">
        <f t="shared" si="4"/>
        <v>6.6047743628808138E-3</v>
      </c>
      <c r="J8" s="12">
        <f>MIN(raw_inputs!$E$5:$E$23)/raw_inputs!E9</f>
        <v>9.0171325518485117E-4</v>
      </c>
      <c r="K8" s="12">
        <f t="shared" si="5"/>
        <v>6.6737946274052315E-4</v>
      </c>
      <c r="L8" s="12">
        <f t="shared" si="6"/>
        <v>1.3347589254810464E-5</v>
      </c>
      <c r="M8" s="12">
        <f>IF(raw_inputs!G9=-1,0,1)</f>
        <v>1</v>
      </c>
      <c r="N8" s="12">
        <f t="shared" si="7"/>
        <v>5.5555555555555552E-2</v>
      </c>
      <c r="O8" s="12">
        <f t="shared" si="8"/>
        <v>1.1111111111111111E-3</v>
      </c>
      <c r="P8" s="12">
        <f>IF(raw_inputs!H9=-1,0,1)</f>
        <v>1</v>
      </c>
      <c r="Q8" s="12">
        <f t="shared" si="9"/>
        <v>5.5555555555555552E-2</v>
      </c>
      <c r="R8" s="12">
        <f t="shared" si="10"/>
        <v>1.1111111111111111E-3</v>
      </c>
      <c r="S8" s="12" t="str">
        <f>IF(OR(raw_inputs!I9="",raw_inputs!J9=""),"",AVERAGE(MIN(raw_inputs!$I$5:$I$23)/raw_inputs!I9,MIN(raw_inputs!$J$5:$J$23)/raw_inputs!J9))</f>
        <v/>
      </c>
      <c r="T8" s="12" t="str">
        <f t="shared" si="11"/>
        <v/>
      </c>
      <c r="U8" s="12" t="str">
        <f t="shared" si="12"/>
        <v/>
      </c>
      <c r="V8" s="12" t="str">
        <f>raw_inputs!M9</f>
        <v/>
      </c>
      <c r="W8" s="12" t="str">
        <f t="shared" si="13"/>
        <v/>
      </c>
      <c r="X8" s="12" t="str">
        <f t="shared" si="14"/>
        <v/>
      </c>
      <c r="Y8" s="12" t="e">
        <f t="shared" si="15"/>
        <v>#VALUE!</v>
      </c>
      <c r="Z8" s="11">
        <f t="shared" si="16"/>
        <v>0.82</v>
      </c>
    </row>
    <row r="9" spans="1:26" x14ac:dyDescent="0.3">
      <c r="A9" t="s">
        <v>34</v>
      </c>
      <c r="B9" s="12">
        <f>raw_inputs!B10/SUM(raw_inputs!$B$5:$B$23)</f>
        <v>1.2083117800724906E-2</v>
      </c>
      <c r="C9" s="12">
        <f t="shared" si="0"/>
        <v>6.0415589003624528E-3</v>
      </c>
      <c r="D9" s="12">
        <f>raw_inputs!C10/MAX(raw_inputs!$C$5:$C$23)</f>
        <v>0.7608141480124273</v>
      </c>
      <c r="E9" s="12">
        <f t="shared" si="1"/>
        <v>5.3372042337740719E-2</v>
      </c>
      <c r="F9" s="12">
        <f t="shared" si="2"/>
        <v>6.9383655039062936E-3</v>
      </c>
      <c r="G9" s="12">
        <f>MIN(raw_inputs!$D$5:$D$23)/raw_inputs!D10</f>
        <v>0.80194410692588081</v>
      </c>
      <c r="H9" s="12">
        <f t="shared" si="3"/>
        <v>6.3720423379433372E-2</v>
      </c>
      <c r="I9" s="12">
        <f t="shared" si="4"/>
        <v>9.5580635069150051E-3</v>
      </c>
      <c r="J9" s="12">
        <f>MIN(raw_inputs!$E$5:$E$23)/raw_inputs!E10</f>
        <v>1.0741138560687433E-3</v>
      </c>
      <c r="K9" s="12">
        <f t="shared" si="5"/>
        <v>7.9497725475750826E-4</v>
      </c>
      <c r="L9" s="12">
        <f t="shared" si="6"/>
        <v>1.5899545095150164E-5</v>
      </c>
      <c r="M9" s="12">
        <f>IF(raw_inputs!G10=-1,0,1)</f>
        <v>1</v>
      </c>
      <c r="N9" s="12">
        <f t="shared" si="7"/>
        <v>5.5555555555555552E-2</v>
      </c>
      <c r="O9" s="12">
        <f t="shared" si="8"/>
        <v>1.1111111111111111E-3</v>
      </c>
      <c r="P9" s="12">
        <f>IF(raw_inputs!H10=-1,0,1)</f>
        <v>1</v>
      </c>
      <c r="Q9" s="12">
        <f t="shared" si="9"/>
        <v>5.5555555555555552E-2</v>
      </c>
      <c r="R9" s="12">
        <f t="shared" si="10"/>
        <v>1.1111111111111111E-3</v>
      </c>
      <c r="S9" s="12" t="str">
        <f>IF(OR(raw_inputs!I10="",raw_inputs!J10=""),"",AVERAGE(MIN(raw_inputs!$I$5:$I$23)/raw_inputs!I10,MIN(raw_inputs!$J$5:$J$23)/raw_inputs!J10))</f>
        <v/>
      </c>
      <c r="T9" s="12" t="str">
        <f t="shared" si="11"/>
        <v/>
      </c>
      <c r="U9" s="12" t="str">
        <f t="shared" si="12"/>
        <v/>
      </c>
      <c r="V9" s="12" t="str">
        <f>raw_inputs!M10</f>
        <v/>
      </c>
      <c r="W9" s="12" t="str">
        <f t="shared" si="13"/>
        <v/>
      </c>
      <c r="X9" s="12" t="str">
        <f t="shared" si="14"/>
        <v/>
      </c>
      <c r="Y9" s="12" t="e">
        <f t="shared" si="15"/>
        <v>#VALUE!</v>
      </c>
      <c r="Z9" s="11">
        <f t="shared" si="16"/>
        <v>0.82</v>
      </c>
    </row>
    <row r="10" spans="1:26" x14ac:dyDescent="0.3">
      <c r="A10" t="s">
        <v>35</v>
      </c>
      <c r="B10" s="12">
        <f>raw_inputs!B11/SUM(raw_inputs!$B$5:$B$23)</f>
        <v>4.8876536469399705E-2</v>
      </c>
      <c r="C10" s="12">
        <f t="shared" si="0"/>
        <v>2.4438268234699852E-2</v>
      </c>
      <c r="D10" s="12">
        <f>raw_inputs!C11/MAX(raw_inputs!$C$5:$C$23)</f>
        <v>0.76475742850314665</v>
      </c>
      <c r="E10" s="12">
        <f t="shared" si="1"/>
        <v>5.3648668283577922E-2</v>
      </c>
      <c r="F10" s="12">
        <f t="shared" si="2"/>
        <v>6.9743268768651303E-3</v>
      </c>
      <c r="G10" s="12">
        <f>MIN(raw_inputs!$D$5:$D$23)/raw_inputs!D11</f>
        <v>0.80194410692588081</v>
      </c>
      <c r="H10" s="12">
        <f t="shared" si="3"/>
        <v>6.3720423379433372E-2</v>
      </c>
      <c r="I10" s="12">
        <f t="shared" si="4"/>
        <v>9.5580635069150051E-3</v>
      </c>
      <c r="J10" s="12">
        <f>MIN(raw_inputs!$E$5:$E$23)/raw_inputs!E11</f>
        <v>1.6178611875101117E-4</v>
      </c>
      <c r="K10" s="12">
        <f t="shared" si="5"/>
        <v>1.1974176090911506E-4</v>
      </c>
      <c r="L10" s="12">
        <f t="shared" si="6"/>
        <v>2.3948352181823014E-6</v>
      </c>
      <c r="M10" s="12">
        <f>IF(raw_inputs!G11=-1,0,1)</f>
        <v>1</v>
      </c>
      <c r="N10" s="12">
        <f t="shared" si="7"/>
        <v>5.5555555555555552E-2</v>
      </c>
      <c r="O10" s="12">
        <f t="shared" si="8"/>
        <v>1.1111111111111111E-3</v>
      </c>
      <c r="P10" s="12">
        <f>IF(raw_inputs!H11=-1,0,1)</f>
        <v>1</v>
      </c>
      <c r="Q10" s="12">
        <f t="shared" si="9"/>
        <v>5.5555555555555552E-2</v>
      </c>
      <c r="R10" s="12">
        <f t="shared" si="10"/>
        <v>1.1111111111111111E-3</v>
      </c>
      <c r="S10" s="12" t="str">
        <f>IF(OR(raw_inputs!I11="",raw_inputs!J11=""),"",AVERAGE(MIN(raw_inputs!$I$5:$I$23)/raw_inputs!I11,MIN(raw_inputs!$J$5:$J$23)/raw_inputs!J11))</f>
        <v/>
      </c>
      <c r="T10" s="12" t="str">
        <f t="shared" si="11"/>
        <v/>
      </c>
      <c r="U10" s="12" t="str">
        <f t="shared" si="12"/>
        <v/>
      </c>
      <c r="V10" s="12" t="str">
        <f>raw_inputs!M11</f>
        <v/>
      </c>
      <c r="W10" s="12" t="str">
        <f t="shared" si="13"/>
        <v/>
      </c>
      <c r="X10" s="12" t="str">
        <f t="shared" si="14"/>
        <v/>
      </c>
      <c r="Y10" s="12" t="e">
        <f t="shared" si="15"/>
        <v>#VALUE!</v>
      </c>
      <c r="Z10" s="11">
        <f t="shared" si="16"/>
        <v>0.82</v>
      </c>
    </row>
    <row r="11" spans="1:26" x14ac:dyDescent="0.3">
      <c r="A11" t="s">
        <v>36</v>
      </c>
      <c r="B11" s="12">
        <f>raw_inputs!B12/SUM(raw_inputs!$B$5:$B$23)</f>
        <v>4.3282143486471761E-2</v>
      </c>
      <c r="C11" s="12">
        <f t="shared" si="0"/>
        <v>2.164107174323588E-2</v>
      </c>
      <c r="D11" s="12">
        <f>raw_inputs!C12/MAX(raw_inputs!$C$5:$C$23)</f>
        <v>0.65657611726280574</v>
      </c>
      <c r="E11" s="12">
        <f t="shared" si="1"/>
        <v>4.6059617082630129E-2</v>
      </c>
      <c r="F11" s="12">
        <f t="shared" si="2"/>
        <v>5.9877502207419169E-3</v>
      </c>
      <c r="G11" s="12">
        <f>MIN(raw_inputs!$D$5:$D$23)/raw_inputs!D12</f>
        <v>0.55649241146711637</v>
      </c>
      <c r="H11" s="12">
        <f t="shared" si="3"/>
        <v>4.4217460743063805E-2</v>
      </c>
      <c r="I11" s="12">
        <f t="shared" si="4"/>
        <v>6.6326191114595709E-3</v>
      </c>
      <c r="J11" s="12">
        <f>MIN(raw_inputs!$E$5:$E$23)/raw_inputs!E12</f>
        <v>5.8548009367681499E-4</v>
      </c>
      <c r="K11" s="12">
        <f t="shared" si="5"/>
        <v>4.3332776591290407E-4</v>
      </c>
      <c r="L11" s="12">
        <f t="shared" si="6"/>
        <v>8.6665553182580809E-6</v>
      </c>
      <c r="M11" s="12">
        <f>IF(raw_inputs!G12=-1,0,1)</f>
        <v>1</v>
      </c>
      <c r="N11" s="12">
        <f t="shared" si="7"/>
        <v>5.5555555555555552E-2</v>
      </c>
      <c r="O11" s="12">
        <f t="shared" si="8"/>
        <v>1.1111111111111111E-3</v>
      </c>
      <c r="P11" s="12">
        <f>IF(raw_inputs!H12=-1,0,1)</f>
        <v>1</v>
      </c>
      <c r="Q11" s="12">
        <f t="shared" si="9"/>
        <v>5.5555555555555552E-2</v>
      </c>
      <c r="R11" s="12">
        <f t="shared" si="10"/>
        <v>1.1111111111111111E-3</v>
      </c>
      <c r="S11" s="12" t="str">
        <f>IF(OR(raw_inputs!I12="",raw_inputs!J12=""),"",AVERAGE(MIN(raw_inputs!$I$5:$I$23)/raw_inputs!I12,MIN(raw_inputs!$J$5:$J$23)/raw_inputs!J12))</f>
        <v/>
      </c>
      <c r="T11" s="12" t="str">
        <f t="shared" si="11"/>
        <v/>
      </c>
      <c r="U11" s="12" t="str">
        <f t="shared" si="12"/>
        <v/>
      </c>
      <c r="V11" s="12" t="str">
        <f>raw_inputs!M12</f>
        <v/>
      </c>
      <c r="W11" s="12" t="str">
        <f t="shared" si="13"/>
        <v/>
      </c>
      <c r="X11" s="12" t="str">
        <f t="shared" si="14"/>
        <v/>
      </c>
      <c r="Y11" s="12" t="e">
        <f t="shared" si="15"/>
        <v>#VALUE!</v>
      </c>
      <c r="Z11" s="11">
        <f t="shared" si="16"/>
        <v>0.82</v>
      </c>
    </row>
    <row r="12" spans="1:26" x14ac:dyDescent="0.3">
      <c r="A12" t="s">
        <v>37</v>
      </c>
      <c r="B12" s="12">
        <f>raw_inputs!B13/SUM(raw_inputs!$B$5:$B$23)</f>
        <v>0.16536551226271898</v>
      </c>
      <c r="C12" s="12">
        <f t="shared" si="0"/>
        <v>8.2682756131359489E-2</v>
      </c>
      <c r="D12" s="12">
        <f>raw_inputs!C13/MAX(raw_inputs!$C$5:$C$23)</f>
        <v>0.82808890305106353</v>
      </c>
      <c r="E12" s="12">
        <f t="shared" si="1"/>
        <v>5.8091448625811719E-2</v>
      </c>
      <c r="F12" s="12">
        <f t="shared" si="2"/>
        <v>7.5518883213555234E-3</v>
      </c>
      <c r="G12" s="12">
        <f>MIN(raw_inputs!$D$5:$D$23)/raw_inputs!D13</f>
        <v>0.83862770012706478</v>
      </c>
      <c r="H12" s="12">
        <f t="shared" si="3"/>
        <v>6.6635207676332492E-2</v>
      </c>
      <c r="I12" s="12">
        <f t="shared" si="4"/>
        <v>9.9952811514498734E-3</v>
      </c>
      <c r="J12" s="12">
        <f>MIN(raw_inputs!$E$5:$E$23)/raw_inputs!E13</f>
        <v>2.5575447570332479E-4</v>
      </c>
      <c r="K12" s="12">
        <f t="shared" si="5"/>
        <v>1.8928998060850131E-4</v>
      </c>
      <c r="L12" s="12">
        <f t="shared" si="6"/>
        <v>3.7857996121700263E-6</v>
      </c>
      <c r="M12" s="12">
        <f>IF(raw_inputs!G13=-1,0,1)</f>
        <v>1</v>
      </c>
      <c r="N12" s="12">
        <f t="shared" si="7"/>
        <v>5.5555555555555552E-2</v>
      </c>
      <c r="O12" s="12">
        <f t="shared" si="8"/>
        <v>1.1111111111111111E-3</v>
      </c>
      <c r="P12" s="12">
        <f>IF(raw_inputs!H13=-1,0,1)</f>
        <v>1</v>
      </c>
      <c r="Q12" s="12">
        <f t="shared" si="9"/>
        <v>5.5555555555555552E-2</v>
      </c>
      <c r="R12" s="12">
        <f t="shared" si="10"/>
        <v>1.1111111111111111E-3</v>
      </c>
      <c r="S12" s="12" t="str">
        <f>IF(OR(raw_inputs!I13="",raw_inputs!J13=""),"",AVERAGE(MIN(raw_inputs!$I$5:$I$23)/raw_inputs!I13,MIN(raw_inputs!$J$5:$J$23)/raw_inputs!J13))</f>
        <v/>
      </c>
      <c r="T12" s="12" t="str">
        <f t="shared" si="11"/>
        <v/>
      </c>
      <c r="U12" s="12" t="str">
        <f t="shared" si="12"/>
        <v/>
      </c>
      <c r="V12" s="12" t="str">
        <f>raw_inputs!M13</f>
        <v/>
      </c>
      <c r="W12" s="12" t="str">
        <f t="shared" si="13"/>
        <v/>
      </c>
      <c r="X12" s="12" t="str">
        <f t="shared" si="14"/>
        <v/>
      </c>
      <c r="Y12" s="12" t="e">
        <f t="shared" si="15"/>
        <v>#VALUE!</v>
      </c>
      <c r="Z12" s="11">
        <f t="shared" si="16"/>
        <v>0.82</v>
      </c>
    </row>
    <row r="13" spans="1:26" x14ac:dyDescent="0.3">
      <c r="A13" t="s">
        <v>38</v>
      </c>
      <c r="B13" s="12">
        <f>raw_inputs!B14/SUM(raw_inputs!$B$5:$B$23)</f>
        <v>0.11042886343078409</v>
      </c>
      <c r="C13" s="12">
        <f t="shared" si="0"/>
        <v>5.5214431715392046E-2</v>
      </c>
      <c r="D13" s="12">
        <f>raw_inputs!C14/MAX(raw_inputs!$C$5:$C$23)</f>
        <v>0.6646220027085159</v>
      </c>
      <c r="E13" s="12">
        <f t="shared" si="1"/>
        <v>4.6624045780196938E-2</v>
      </c>
      <c r="F13" s="12">
        <f t="shared" si="2"/>
        <v>6.061125951425602E-3</v>
      </c>
      <c r="G13" s="12">
        <f>MIN(raw_inputs!$D$5:$D$23)/raw_inputs!D14</f>
        <v>0.53527980535279807</v>
      </c>
      <c r="H13" s="12">
        <f t="shared" si="3"/>
        <v>4.2531961428445807E-2</v>
      </c>
      <c r="I13" s="12">
        <f t="shared" si="4"/>
        <v>6.379794214266871E-3</v>
      </c>
      <c r="J13" s="12">
        <f>MIN(raw_inputs!$E$5:$E$23)/raw_inputs!E14</f>
        <v>8.0515297906602254E-4</v>
      </c>
      <c r="K13" s="12">
        <f t="shared" si="5"/>
        <v>5.9591290191565228E-4</v>
      </c>
      <c r="L13" s="12">
        <f t="shared" si="6"/>
        <v>1.1918258038313046E-5</v>
      </c>
      <c r="M13" s="12">
        <f>IF(raw_inputs!G14=-1,0,1)</f>
        <v>1</v>
      </c>
      <c r="N13" s="12">
        <f t="shared" si="7"/>
        <v>5.5555555555555552E-2</v>
      </c>
      <c r="O13" s="12">
        <f t="shared" si="8"/>
        <v>1.1111111111111111E-3</v>
      </c>
      <c r="P13" s="12">
        <f>IF(raw_inputs!H14=-1,0,1)</f>
        <v>1</v>
      </c>
      <c r="Q13" s="12">
        <f t="shared" si="9"/>
        <v>5.5555555555555552E-2</v>
      </c>
      <c r="R13" s="12">
        <f t="shared" si="10"/>
        <v>1.1111111111111111E-3</v>
      </c>
      <c r="S13" s="12" t="str">
        <f>IF(OR(raw_inputs!I14="",raw_inputs!J14=""),"",AVERAGE(MIN(raw_inputs!$I$5:$I$23)/raw_inputs!I14,MIN(raw_inputs!$J$5:$J$23)/raw_inputs!J14))</f>
        <v/>
      </c>
      <c r="T13" s="12" t="str">
        <f t="shared" si="11"/>
        <v/>
      </c>
      <c r="U13" s="12" t="str">
        <f t="shared" si="12"/>
        <v/>
      </c>
      <c r="V13" s="12" t="str">
        <f>raw_inputs!M14</f>
        <v/>
      </c>
      <c r="W13" s="12" t="str">
        <f t="shared" si="13"/>
        <v/>
      </c>
      <c r="X13" s="12" t="str">
        <f t="shared" si="14"/>
        <v/>
      </c>
      <c r="Y13" s="12" t="e">
        <f t="shared" si="15"/>
        <v>#VALUE!</v>
      </c>
      <c r="Z13" s="11">
        <f t="shared" si="16"/>
        <v>0.82</v>
      </c>
    </row>
    <row r="14" spans="1:26" x14ac:dyDescent="0.3">
      <c r="A14" t="s">
        <v>39</v>
      </c>
      <c r="B14" s="12">
        <f>raw_inputs!B15/SUM(raw_inputs!$B$5:$B$23)</f>
        <v>2.1440698422744025E-2</v>
      </c>
      <c r="C14" s="12">
        <f t="shared" si="0"/>
        <v>1.0720349211372012E-2</v>
      </c>
      <c r="D14" s="12">
        <f>raw_inputs!C15/MAX(raw_inputs!$C$5:$C$23)</f>
        <v>0.63056639847048512</v>
      </c>
      <c r="E14" s="12">
        <f t="shared" si="1"/>
        <v>4.4235003520693858E-2</v>
      </c>
      <c r="F14" s="12">
        <f t="shared" si="2"/>
        <v>5.7505504576902018E-3</v>
      </c>
      <c r="G14" s="12">
        <f>MIN(raw_inputs!$D$5:$D$23)/raw_inputs!D15</f>
        <v>0.43250327653997378</v>
      </c>
      <c r="H14" s="12">
        <f t="shared" si="3"/>
        <v>3.4365601861909352E-2</v>
      </c>
      <c r="I14" s="12">
        <f t="shared" si="4"/>
        <v>5.154840279286403E-3</v>
      </c>
      <c r="J14" s="12">
        <f>MIN(raw_inputs!$E$5:$E$23)/raw_inputs!E15</f>
        <v>1.6077170418006431E-3</v>
      </c>
      <c r="K14" s="12">
        <f t="shared" si="5"/>
        <v>1.1899096851756272E-3</v>
      </c>
      <c r="L14" s="12">
        <f t="shared" si="6"/>
        <v>2.3798193703512545E-5</v>
      </c>
      <c r="M14" s="12">
        <f>IF(raw_inputs!G15=-1,0,1)</f>
        <v>1</v>
      </c>
      <c r="N14" s="12">
        <f t="shared" si="7"/>
        <v>5.5555555555555552E-2</v>
      </c>
      <c r="O14" s="12">
        <f t="shared" si="8"/>
        <v>1.1111111111111111E-3</v>
      </c>
      <c r="P14" s="12">
        <f>IF(raw_inputs!H15=-1,0,1)</f>
        <v>1</v>
      </c>
      <c r="Q14" s="12">
        <f t="shared" si="9"/>
        <v>5.5555555555555552E-2</v>
      </c>
      <c r="R14" s="12">
        <f t="shared" si="10"/>
        <v>1.1111111111111111E-3</v>
      </c>
      <c r="S14" s="12" t="str">
        <f>IF(OR(raw_inputs!I15="",raw_inputs!J15=""),"",AVERAGE(MIN(raw_inputs!$I$5:$I$23)/raw_inputs!I15,MIN(raw_inputs!$J$5:$J$23)/raw_inputs!J15))</f>
        <v/>
      </c>
      <c r="T14" s="12" t="str">
        <f t="shared" si="11"/>
        <v/>
      </c>
      <c r="U14" s="12" t="str">
        <f t="shared" si="12"/>
        <v/>
      </c>
      <c r="V14" s="12" t="str">
        <f>raw_inputs!M15</f>
        <v/>
      </c>
      <c r="W14" s="12" t="str">
        <f t="shared" si="13"/>
        <v/>
      </c>
      <c r="X14" s="12" t="str">
        <f t="shared" si="14"/>
        <v/>
      </c>
      <c r="Y14" s="12" t="e">
        <f t="shared" si="15"/>
        <v>#VALUE!</v>
      </c>
      <c r="Z14" s="11">
        <f t="shared" si="16"/>
        <v>0.82</v>
      </c>
    </row>
    <row r="15" spans="1:26" x14ac:dyDescent="0.3">
      <c r="A15" t="s">
        <v>40</v>
      </c>
      <c r="B15" s="12">
        <f>raw_inputs!B16/SUM(raw_inputs!$B$5:$B$23)</f>
        <v>5.5258194681570172E-2</v>
      </c>
      <c r="C15" s="12">
        <f t="shared" si="0"/>
        <v>2.7629097340785086E-2</v>
      </c>
      <c r="D15" s="12">
        <f>raw_inputs!C16/MAX(raw_inputs!$C$5:$C$23)</f>
        <v>0.73894686529116549</v>
      </c>
      <c r="E15" s="12">
        <f t="shared" si="1"/>
        <v>5.183802572900717E-2</v>
      </c>
      <c r="F15" s="12">
        <f t="shared" si="2"/>
        <v>6.7389433447709321E-3</v>
      </c>
      <c r="G15" s="12">
        <f>MIN(raw_inputs!$D$5:$D$23)/raw_inputs!D16</f>
        <v>0.76124567474048443</v>
      </c>
      <c r="H15" s="12">
        <f t="shared" si="3"/>
        <v>6.0486630266751648E-2</v>
      </c>
      <c r="I15" s="12">
        <f t="shared" si="4"/>
        <v>9.0729945400127472E-3</v>
      </c>
      <c r="J15" s="12">
        <f>MIN(raw_inputs!$E$5:$E$23)/raw_inputs!E16</f>
        <v>3.2767547021429977E-5</v>
      </c>
      <c r="K15" s="12">
        <f t="shared" si="5"/>
        <v>2.4252042210473826E-5</v>
      </c>
      <c r="L15" s="12">
        <f t="shared" si="6"/>
        <v>4.8504084420947649E-7</v>
      </c>
      <c r="M15" s="12">
        <f>IF(raw_inputs!G16=-1,0,1)</f>
        <v>1</v>
      </c>
      <c r="N15" s="12">
        <f t="shared" si="7"/>
        <v>5.5555555555555552E-2</v>
      </c>
      <c r="O15" s="12">
        <f t="shared" si="8"/>
        <v>1.1111111111111111E-3</v>
      </c>
      <c r="P15" s="12">
        <f>IF(raw_inputs!H16=-1,0,1)</f>
        <v>1</v>
      </c>
      <c r="Q15" s="12">
        <f t="shared" si="9"/>
        <v>5.5555555555555552E-2</v>
      </c>
      <c r="R15" s="12">
        <f t="shared" si="10"/>
        <v>1.1111111111111111E-3</v>
      </c>
      <c r="S15" s="12" t="str">
        <f>IF(OR(raw_inputs!I16="",raw_inputs!J16=""),"",AVERAGE(MIN(raw_inputs!$I$5:$I$23)/raw_inputs!I16,MIN(raw_inputs!$J$5:$J$23)/raw_inputs!J16))</f>
        <v/>
      </c>
      <c r="T15" s="12" t="str">
        <f t="shared" si="11"/>
        <v/>
      </c>
      <c r="U15" s="12" t="str">
        <f t="shared" si="12"/>
        <v/>
      </c>
      <c r="V15" s="12" t="str">
        <f>raw_inputs!M16</f>
        <v/>
      </c>
      <c r="W15" s="12" t="str">
        <f t="shared" si="13"/>
        <v/>
      </c>
      <c r="X15" s="12" t="str">
        <f t="shared" si="14"/>
        <v/>
      </c>
      <c r="Y15" s="12" t="e">
        <f t="shared" si="15"/>
        <v>#VALUE!</v>
      </c>
      <c r="Z15" s="11">
        <f t="shared" si="16"/>
        <v>0.82</v>
      </c>
    </row>
    <row r="16" spans="1:26" x14ac:dyDescent="0.3">
      <c r="A16" t="s">
        <v>41</v>
      </c>
      <c r="B16" s="12">
        <f>raw_inputs!B17/SUM(raw_inputs!$B$5:$B$23)</f>
        <v>0.14480221042467645</v>
      </c>
      <c r="C16" s="12">
        <f t="shared" si="0"/>
        <v>7.2401105212338224E-2</v>
      </c>
      <c r="D16" s="12">
        <f>raw_inputs!C17/MAX(raw_inputs!$C$5:$C$23)</f>
        <v>0.93575240978252205</v>
      </c>
      <c r="E16" s="12">
        <f t="shared" si="1"/>
        <v>6.5644175207609165E-2</v>
      </c>
      <c r="F16" s="12">
        <f t="shared" si="2"/>
        <v>8.5337427769891921E-3</v>
      </c>
      <c r="G16" s="12">
        <f>MIN(raw_inputs!$D$5:$D$23)/raw_inputs!D17</f>
        <v>0.76923076923076916</v>
      </c>
      <c r="H16" s="12">
        <f t="shared" si="3"/>
        <v>6.1121105409409876E-2</v>
      </c>
      <c r="I16" s="12">
        <f t="shared" si="4"/>
        <v>9.1681658114114804E-3</v>
      </c>
      <c r="J16" s="12">
        <f>MIN(raw_inputs!$E$5:$E$23)/raw_inputs!E17</f>
        <v>1.2690355329949238E-3</v>
      </c>
      <c r="K16" s="12">
        <f t="shared" si="5"/>
        <v>9.3924343169954328E-4</v>
      </c>
      <c r="L16" s="12">
        <f t="shared" si="6"/>
        <v>1.8784868633990865E-5</v>
      </c>
      <c r="M16" s="12">
        <f>IF(raw_inputs!G17=-1,0,1)</f>
        <v>1</v>
      </c>
      <c r="N16" s="12">
        <f t="shared" si="7"/>
        <v>5.5555555555555552E-2</v>
      </c>
      <c r="O16" s="12">
        <f t="shared" si="8"/>
        <v>1.1111111111111111E-3</v>
      </c>
      <c r="P16" s="12">
        <f>IF(raw_inputs!H17=-1,0,1)</f>
        <v>1</v>
      </c>
      <c r="Q16" s="12">
        <f t="shared" si="9"/>
        <v>5.5555555555555552E-2</v>
      </c>
      <c r="R16" s="12">
        <f t="shared" si="10"/>
        <v>1.1111111111111111E-3</v>
      </c>
      <c r="S16" s="12" t="str">
        <f>IF(OR(raw_inputs!I17="",raw_inputs!J17=""),"",AVERAGE(MIN(raw_inputs!$I$5:$I$23)/raw_inputs!I17,MIN(raw_inputs!$J$5:$J$23)/raw_inputs!J17))</f>
        <v/>
      </c>
      <c r="T16" s="12" t="str">
        <f t="shared" si="11"/>
        <v/>
      </c>
      <c r="U16" s="12" t="str">
        <f t="shared" si="12"/>
        <v/>
      </c>
      <c r="V16" s="12" t="str">
        <f>raw_inputs!M17</f>
        <v/>
      </c>
      <c r="W16" s="12" t="str">
        <f t="shared" si="13"/>
        <v/>
      </c>
      <c r="X16" s="12" t="str">
        <f t="shared" si="14"/>
        <v/>
      </c>
      <c r="Y16" s="12" t="e">
        <f t="shared" si="15"/>
        <v>#VALUE!</v>
      </c>
      <c r="Z16" s="11">
        <f t="shared" si="16"/>
        <v>0.82</v>
      </c>
    </row>
    <row r="17" spans="1:26" x14ac:dyDescent="0.3">
      <c r="A17" t="s">
        <v>42</v>
      </c>
      <c r="B17" s="12">
        <f>raw_inputs!B18/SUM(raw_inputs!$B$5:$B$23)</f>
        <v>3.2302951596307111E-2</v>
      </c>
      <c r="C17" s="12">
        <f t="shared" si="0"/>
        <v>1.6151475798153556E-2</v>
      </c>
      <c r="D17" s="12">
        <f>raw_inputs!C18/MAX(raw_inputs!$C$5:$C$23)</f>
        <v>0.65804986855731695</v>
      </c>
      <c r="E17" s="12">
        <f t="shared" si="1"/>
        <v>4.6163002537134935E-2</v>
      </c>
      <c r="F17" s="12">
        <f t="shared" si="2"/>
        <v>6.001190329827542E-3</v>
      </c>
      <c r="G17" s="12">
        <f>MIN(raw_inputs!$D$5:$D$23)/raw_inputs!D18</f>
        <v>0.4925373134328358</v>
      </c>
      <c r="H17" s="12">
        <f t="shared" si="3"/>
        <v>3.9135752568114683E-2</v>
      </c>
      <c r="I17" s="12">
        <f t="shared" si="4"/>
        <v>5.8703628852172021E-3</v>
      </c>
      <c r="J17" s="12">
        <f>MIN(raw_inputs!$E$5:$E$23)/raw_inputs!E18</f>
        <v>1.1160714285714285E-3</v>
      </c>
      <c r="K17" s="12">
        <f t="shared" si="5"/>
        <v>8.2603105377147335E-4</v>
      </c>
      <c r="L17" s="12">
        <f t="shared" si="6"/>
        <v>1.6520621075429466E-5</v>
      </c>
      <c r="M17" s="12">
        <f>IF(raw_inputs!G18=-1,0,1)</f>
        <v>1</v>
      </c>
      <c r="N17" s="12">
        <f t="shared" si="7"/>
        <v>5.5555555555555552E-2</v>
      </c>
      <c r="O17" s="12">
        <f t="shared" si="8"/>
        <v>1.1111111111111111E-3</v>
      </c>
      <c r="P17" s="12">
        <f>IF(raw_inputs!H18=-1,0,1)</f>
        <v>1</v>
      </c>
      <c r="Q17" s="12">
        <f t="shared" si="9"/>
        <v>5.5555555555555552E-2</v>
      </c>
      <c r="R17" s="12">
        <f t="shared" si="10"/>
        <v>1.1111111111111111E-3</v>
      </c>
      <c r="S17" s="12" t="str">
        <f>IF(OR(raw_inputs!I18="",raw_inputs!J18=""),"",AVERAGE(MIN(raw_inputs!$I$5:$I$23)/raw_inputs!I18,MIN(raw_inputs!$J$5:$J$23)/raw_inputs!J18))</f>
        <v/>
      </c>
      <c r="T17" s="12" t="str">
        <f t="shared" si="11"/>
        <v/>
      </c>
      <c r="U17" s="12" t="str">
        <f t="shared" si="12"/>
        <v/>
      </c>
      <c r="V17" s="12" t="str">
        <f>raw_inputs!M18</f>
        <v/>
      </c>
      <c r="W17" s="12" t="str">
        <f t="shared" si="13"/>
        <v/>
      </c>
      <c r="X17" s="12" t="str">
        <f t="shared" si="14"/>
        <v/>
      </c>
      <c r="Y17" s="12" t="e">
        <f t="shared" si="15"/>
        <v>#VALUE!</v>
      </c>
      <c r="Z17" s="11">
        <f t="shared" si="16"/>
        <v>0.82</v>
      </c>
    </row>
    <row r="18" spans="1:26" x14ac:dyDescent="0.3">
      <c r="A18" t="s">
        <v>43</v>
      </c>
      <c r="B18" s="12">
        <f>raw_inputs!B19/SUM(raw_inputs!$B$5:$B$23)</f>
        <v>1.391975789431496E-2</v>
      </c>
      <c r="C18" s="12">
        <f t="shared" si="0"/>
        <v>6.9598789471574801E-3</v>
      </c>
      <c r="D18" s="12">
        <f>raw_inputs!C19/MAX(raw_inputs!$C$5:$C$23)</f>
        <v>0.8850473990281208</v>
      </c>
      <c r="E18" s="12">
        <f t="shared" si="1"/>
        <v>6.2087156732349033E-2</v>
      </c>
      <c r="F18" s="12">
        <f t="shared" si="2"/>
        <v>8.0713303752053753E-3</v>
      </c>
      <c r="G18" s="12">
        <f>MIN(raw_inputs!$D$5:$D$23)/raw_inputs!D19</f>
        <v>1</v>
      </c>
      <c r="H18" s="12">
        <f t="shared" si="3"/>
        <v>7.9457437032232847E-2</v>
      </c>
      <c r="I18" s="12">
        <f t="shared" si="4"/>
        <v>1.1918615554834927E-2</v>
      </c>
      <c r="J18" s="12">
        <f>MIN(raw_inputs!$E$5:$E$23)/raw_inputs!E19</f>
        <v>1.0526315789473684E-3</v>
      </c>
      <c r="K18" s="12">
        <f t="shared" si="5"/>
        <v>7.7907770966235805E-4</v>
      </c>
      <c r="L18" s="12">
        <f t="shared" si="6"/>
        <v>1.5581554193247163E-5</v>
      </c>
      <c r="M18" s="12">
        <f>IF(raw_inputs!G19=-1,0,1)</f>
        <v>1</v>
      </c>
      <c r="N18" s="12">
        <f t="shared" si="7"/>
        <v>5.5555555555555552E-2</v>
      </c>
      <c r="O18" s="12">
        <f t="shared" si="8"/>
        <v>1.1111111111111111E-3</v>
      </c>
      <c r="P18" s="12">
        <f>IF(raw_inputs!H19=-1,0,1)</f>
        <v>1</v>
      </c>
      <c r="Q18" s="12">
        <f t="shared" si="9"/>
        <v>5.5555555555555552E-2</v>
      </c>
      <c r="R18" s="12">
        <f t="shared" si="10"/>
        <v>1.1111111111111111E-3</v>
      </c>
      <c r="S18" s="12" t="str">
        <f>IF(OR(raw_inputs!I19="",raw_inputs!J19=""),"",AVERAGE(MIN(raw_inputs!$I$5:$I$23)/raw_inputs!I19,MIN(raw_inputs!$J$5:$J$23)/raw_inputs!J19))</f>
        <v/>
      </c>
      <c r="T18" s="12" t="str">
        <f t="shared" si="11"/>
        <v/>
      </c>
      <c r="U18" s="12" t="str">
        <f t="shared" si="12"/>
        <v/>
      </c>
      <c r="V18" s="12" t="str">
        <f>raw_inputs!M19</f>
        <v/>
      </c>
      <c r="W18" s="12" t="str">
        <f t="shared" si="13"/>
        <v/>
      </c>
      <c r="X18" s="12" t="str">
        <f t="shared" si="14"/>
        <v/>
      </c>
      <c r="Y18" s="12" t="e">
        <f t="shared" si="15"/>
        <v>#VALUE!</v>
      </c>
      <c r="Z18" s="11">
        <f t="shared" si="16"/>
        <v>0.82</v>
      </c>
    </row>
    <row r="19" spans="1:26" x14ac:dyDescent="0.3">
      <c r="A19" t="s">
        <v>44</v>
      </c>
      <c r="B19" s="12">
        <f>raw_inputs!B20/SUM(raw_inputs!$B$5:$B$23)</f>
        <v>4.5642595752912012E-2</v>
      </c>
      <c r="C19" s="12">
        <f t="shared" si="0"/>
        <v>2.2821297876456006E-2</v>
      </c>
      <c r="D19" s="12">
        <f>raw_inputs!C20/MAX(raw_inputs!$C$5:$C$23)</f>
        <v>1</v>
      </c>
      <c r="E19" s="12">
        <f t="shared" si="1"/>
        <v>7.015122218372434E-2</v>
      </c>
      <c r="F19" s="12">
        <f t="shared" si="2"/>
        <v>9.1196588838841647E-3</v>
      </c>
      <c r="G19" s="12">
        <f>MIN(raw_inputs!$D$5:$D$23)/raw_inputs!D20</f>
        <v>0.80783353733170127</v>
      </c>
      <c r="H19" s="12">
        <f t="shared" si="3"/>
        <v>6.4188382425059573E-2</v>
      </c>
      <c r="I19" s="12">
        <f t="shared" si="4"/>
        <v>9.6282573637589356E-3</v>
      </c>
      <c r="J19" s="12">
        <f>MIN(raw_inputs!$E$5:$E$23)/raw_inputs!E20</f>
        <v>7.4404761904761901E-4</v>
      </c>
      <c r="K19" s="12">
        <f t="shared" si="5"/>
        <v>5.5068736918098223E-4</v>
      </c>
      <c r="L19" s="12">
        <f t="shared" si="6"/>
        <v>1.1013747383619644E-5</v>
      </c>
      <c r="M19" s="12">
        <f>IF(raw_inputs!G20=-1,0,1)</f>
        <v>1</v>
      </c>
      <c r="N19" s="12">
        <f t="shared" si="7"/>
        <v>5.5555555555555552E-2</v>
      </c>
      <c r="O19" s="12">
        <f t="shared" si="8"/>
        <v>1.1111111111111111E-3</v>
      </c>
      <c r="P19" s="12">
        <f>IF(raw_inputs!H20=-1,0,1)</f>
        <v>1</v>
      </c>
      <c r="Q19" s="12">
        <f t="shared" si="9"/>
        <v>5.5555555555555552E-2</v>
      </c>
      <c r="R19" s="12">
        <f t="shared" si="10"/>
        <v>1.1111111111111111E-3</v>
      </c>
      <c r="S19" s="12" t="str">
        <f>IF(OR(raw_inputs!I20="",raw_inputs!J20=""),"",AVERAGE(MIN(raw_inputs!$I$5:$I$23)/raw_inputs!I20,MIN(raw_inputs!$J$5:$J$23)/raw_inputs!J20))</f>
        <v/>
      </c>
      <c r="T19" s="12" t="str">
        <f t="shared" si="11"/>
        <v/>
      </c>
      <c r="U19" s="12" t="str">
        <f t="shared" si="12"/>
        <v/>
      </c>
      <c r="V19" s="12" t="str">
        <f>raw_inputs!M20</f>
        <v/>
      </c>
      <c r="W19" s="12" t="str">
        <f t="shared" si="13"/>
        <v/>
      </c>
      <c r="X19" s="12" t="str">
        <f t="shared" si="14"/>
        <v/>
      </c>
      <c r="Y19" s="12" t="e">
        <f t="shared" si="15"/>
        <v>#VALUE!</v>
      </c>
      <c r="Z19" s="11">
        <f t="shared" si="16"/>
        <v>0.82</v>
      </c>
    </row>
    <row r="20" spans="1:26" x14ac:dyDescent="0.3">
      <c r="A20" t="s">
        <v>45</v>
      </c>
      <c r="B20" s="12">
        <f>raw_inputs!B21/SUM(raw_inputs!$B$5:$B$23)</f>
        <v>6.6520319236793414E-3</v>
      </c>
      <c r="C20" s="12">
        <f t="shared" si="0"/>
        <v>3.3260159618396707E-3</v>
      </c>
      <c r="D20" s="12">
        <f>raw_inputs!C21/MAX(raw_inputs!$C$5:$C$23)</f>
        <v>0.78256193738548552</v>
      </c>
      <c r="E20" s="12">
        <f t="shared" si="1"/>
        <v>5.4897676342054967E-2</v>
      </c>
      <c r="F20" s="12">
        <f t="shared" si="2"/>
        <v>7.1366979244671461E-3</v>
      </c>
      <c r="G20" s="12">
        <f>MIN(raw_inputs!$D$5:$D$23)/raw_inputs!D21</f>
        <v>0.76923076923076916</v>
      </c>
      <c r="H20" s="12">
        <f t="shared" si="3"/>
        <v>6.1121105409409876E-2</v>
      </c>
      <c r="I20" s="12">
        <f t="shared" si="4"/>
        <v>9.1681658114114804E-3</v>
      </c>
      <c r="J20" s="12">
        <f>MIN(raw_inputs!$E$5:$E$23)/raw_inputs!E21</f>
        <v>3.8461538461538464E-3</v>
      </c>
      <c r="K20" s="12">
        <f t="shared" si="5"/>
        <v>2.8466300929970777E-3</v>
      </c>
      <c r="L20" s="12">
        <f t="shared" si="6"/>
        <v>5.6932601859941554E-5</v>
      </c>
      <c r="M20" s="12">
        <f>IF(raw_inputs!G21=-1,0,1)</f>
        <v>1</v>
      </c>
      <c r="N20" s="12">
        <f t="shared" si="7"/>
        <v>5.5555555555555552E-2</v>
      </c>
      <c r="O20" s="12">
        <f t="shared" si="8"/>
        <v>1.1111111111111111E-3</v>
      </c>
      <c r="P20" s="12">
        <f>IF(raw_inputs!H21=-1,0,1)</f>
        <v>1</v>
      </c>
      <c r="Q20" s="12">
        <f t="shared" si="9"/>
        <v>5.5555555555555552E-2</v>
      </c>
      <c r="R20" s="12">
        <f t="shared" si="10"/>
        <v>1.1111111111111111E-3</v>
      </c>
      <c r="S20" s="12" t="str">
        <f>IF(OR(raw_inputs!I21="",raw_inputs!J21=""),"",AVERAGE(MIN(raw_inputs!$I$5:$I$23)/raw_inputs!I21,MIN(raw_inputs!$J$5:$J$23)/raw_inputs!J21))</f>
        <v/>
      </c>
      <c r="T20" s="12" t="str">
        <f t="shared" si="11"/>
        <v/>
      </c>
      <c r="U20" s="12" t="str">
        <f t="shared" si="12"/>
        <v/>
      </c>
      <c r="V20" s="12" t="str">
        <f>raw_inputs!M21</f>
        <v/>
      </c>
      <c r="W20" s="12" t="str">
        <f t="shared" si="13"/>
        <v/>
      </c>
      <c r="X20" s="12" t="str">
        <f t="shared" si="14"/>
        <v/>
      </c>
      <c r="Y20" s="12" t="e">
        <f t="shared" si="15"/>
        <v>#VALUE!</v>
      </c>
      <c r="Z20" s="11">
        <f t="shared" si="16"/>
        <v>0.82</v>
      </c>
    </row>
    <row r="21" spans="1:26" x14ac:dyDescent="0.3">
      <c r="A21" t="s">
        <v>46</v>
      </c>
      <c r="B21" s="12">
        <f>raw_inputs!B22/SUM(raw_inputs!$B$5:$B$23)</f>
        <v>1.7009952533058495E-3</v>
      </c>
      <c r="C21" s="12">
        <f t="shared" si="0"/>
        <v>8.5049762665292473E-4</v>
      </c>
      <c r="D21" s="12">
        <f>raw_inputs!C22/MAX(raw_inputs!$C$5:$C$23)</f>
        <v>0.65470405480761573</v>
      </c>
      <c r="E21" s="12">
        <f t="shared" si="1"/>
        <v>4.5928289613394284E-2</v>
      </c>
      <c r="F21" s="12">
        <f t="shared" si="2"/>
        <v>5.9706776497412571E-3</v>
      </c>
      <c r="G21" s="12">
        <f>MIN(raw_inputs!$D$5:$D$23)/raw_inputs!D22</f>
        <v>0.30289123451124367</v>
      </c>
      <c r="H21" s="12">
        <f t="shared" si="3"/>
        <v>2.4066961193792414E-2</v>
      </c>
      <c r="I21" s="12">
        <f t="shared" si="4"/>
        <v>3.6100441790688619E-3</v>
      </c>
      <c r="J21" s="12">
        <f>MIN(raw_inputs!$E$5:$E$23)/raw_inputs!E22</f>
        <v>0.33333333333333331</v>
      </c>
      <c r="K21" s="12">
        <f t="shared" si="5"/>
        <v>0.24670794139308005</v>
      </c>
      <c r="L21" s="12">
        <f t="shared" si="6"/>
        <v>4.9341588278616014E-3</v>
      </c>
      <c r="M21" s="12">
        <f>IF(raw_inputs!G22=-1,0,1)</f>
        <v>1</v>
      </c>
      <c r="N21" s="12">
        <f t="shared" si="7"/>
        <v>5.5555555555555552E-2</v>
      </c>
      <c r="O21" s="12">
        <f t="shared" si="8"/>
        <v>1.1111111111111111E-3</v>
      </c>
      <c r="P21" s="12">
        <f>IF(raw_inputs!H22=-1,0,1)</f>
        <v>1</v>
      </c>
      <c r="Q21" s="12">
        <f t="shared" si="9"/>
        <v>5.5555555555555552E-2</v>
      </c>
      <c r="R21" s="12">
        <f t="shared" si="10"/>
        <v>1.1111111111111111E-3</v>
      </c>
      <c r="S21" s="12" t="str">
        <f>IF(OR(raw_inputs!I22="",raw_inputs!J22=""),"",AVERAGE(MIN(raw_inputs!$I$5:$I$23)/raw_inputs!I22,MIN(raw_inputs!$J$5:$J$23)/raw_inputs!J22))</f>
        <v/>
      </c>
      <c r="T21" s="12" t="str">
        <f t="shared" si="11"/>
        <v/>
      </c>
      <c r="U21" s="12" t="str">
        <f t="shared" si="12"/>
        <v/>
      </c>
      <c r="V21" s="12" t="str">
        <f>raw_inputs!M22</f>
        <v/>
      </c>
      <c r="W21" s="12" t="str">
        <f t="shared" si="13"/>
        <v/>
      </c>
      <c r="X21" s="12" t="str">
        <f t="shared" si="14"/>
        <v/>
      </c>
      <c r="Y21" s="12" t="e">
        <f t="shared" si="15"/>
        <v>#VALUE!</v>
      </c>
      <c r="Z21" s="11">
        <f t="shared" si="16"/>
        <v>0.82</v>
      </c>
    </row>
    <row r="22" spans="1:26" x14ac:dyDescent="0.3">
      <c r="A22" t="s">
        <v>47</v>
      </c>
      <c r="B22" s="12">
        <f>raw_inputs!B23/SUM(raw_inputs!$B$5:$B$23)</f>
        <v>1.7722372912702428E-3</v>
      </c>
      <c r="C22" s="12">
        <f t="shared" si="0"/>
        <v>8.861186456351214E-4</v>
      </c>
      <c r="D22" s="12">
        <f>raw_inputs!C23/MAX(raw_inputs!$C$5:$C$23)</f>
        <v>0.60706603999044051</v>
      </c>
      <c r="E22" s="12">
        <f t="shared" si="1"/>
        <v>4.2586424651563079E-2</v>
      </c>
      <c r="F22" s="12">
        <f t="shared" si="2"/>
        <v>5.5362352047032002E-3</v>
      </c>
      <c r="G22" s="12">
        <f>MIN(raw_inputs!$D$5:$D$23)/raw_inputs!D23</f>
        <v>0.25581395348837205</v>
      </c>
      <c r="H22" s="12">
        <f t="shared" si="3"/>
        <v>2.0326321101268863E-2</v>
      </c>
      <c r="I22" s="12">
        <f t="shared" si="4"/>
        <v>3.0489481651903294E-3</v>
      </c>
      <c r="J22" s="12">
        <f>MIN(raw_inputs!$E$5:$E$23)/raw_inputs!E23</f>
        <v>1</v>
      </c>
      <c r="K22" s="12">
        <f t="shared" si="5"/>
        <v>0.74012382417924016</v>
      </c>
      <c r="L22" s="12">
        <f t="shared" si="6"/>
        <v>1.4802476483584804E-2</v>
      </c>
      <c r="M22" s="12">
        <f>IF(raw_inputs!G23=-1,0,1)</f>
        <v>0</v>
      </c>
      <c r="N22" s="12">
        <f t="shared" si="7"/>
        <v>0</v>
      </c>
      <c r="O22" s="12">
        <f t="shared" si="8"/>
        <v>0</v>
      </c>
      <c r="P22" s="12">
        <f>IF(raw_inputs!H23=-1,0,1)</f>
        <v>1</v>
      </c>
      <c r="Q22" s="12">
        <f t="shared" si="9"/>
        <v>5.5555555555555552E-2</v>
      </c>
      <c r="R22" s="12">
        <f t="shared" si="10"/>
        <v>1.1111111111111111E-3</v>
      </c>
      <c r="S22" s="12" t="str">
        <f>IF(OR(raw_inputs!I23="",raw_inputs!J23=""),"",AVERAGE(MIN(raw_inputs!$I$5:$I$23)/raw_inputs!I23,MIN(raw_inputs!$J$5:$J$23)/raw_inputs!J23))</f>
        <v/>
      </c>
      <c r="T22" s="12" t="str">
        <f t="shared" si="11"/>
        <v/>
      </c>
      <c r="U22" s="12" t="str">
        <f t="shared" si="12"/>
        <v/>
      </c>
      <c r="V22" s="12" t="str">
        <f>raw_inputs!M23</f>
        <v/>
      </c>
      <c r="W22" s="12" t="str">
        <f t="shared" si="13"/>
        <v/>
      </c>
      <c r="X22" s="12" t="str">
        <f t="shared" si="14"/>
        <v/>
      </c>
      <c r="Y22" s="12" t="e">
        <f t="shared" si="15"/>
        <v>#VALUE!</v>
      </c>
      <c r="Z22" s="11">
        <f t="shared" si="16"/>
        <v>0.82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raw_inputs</vt:lpstr>
      <vt:lpstr>pesos</vt:lpstr>
      <vt:lpstr>score_template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Rivas Nóvoa</cp:lastModifiedBy>
  <dcterms:modified xsi:type="dcterms:W3CDTF">2026-05-29T11:32:26Z</dcterms:modified>
</cp:coreProperties>
</file>